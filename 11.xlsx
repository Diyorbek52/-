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maro\Downloads\Готово\"/>
    </mc:Choice>
  </mc:AlternateContent>
  <xr:revisionPtr revIDLastSave="0" documentId="13_ncr:1_{3BC20245-54C3-4505-AC01-2FC84DAB99C0}" xr6:coauthVersionLast="47" xr6:coauthVersionMax="47" xr10:uidLastSave="{00000000-0000-0000-0000-000000000000}"/>
  <bookViews>
    <workbookView xWindow="-108" yWindow="-108" windowWidth="23256" windowHeight="12456" firstSheet="4" activeTab="14" xr2:uid="{00000000-000D-0000-FFFF-FFFF00000000}"/>
  </bookViews>
  <sheets>
    <sheet name="Лист1" sheetId="1" r:id="rId1"/>
    <sheet name="Лист2" sheetId="2" r:id="rId2"/>
    <sheet name="Лист3" sheetId="3" r:id="rId3"/>
    <sheet name="Лист4" sheetId="4" r:id="rId4"/>
    <sheet name="Лист5" sheetId="5" r:id="rId5"/>
    <sheet name="Лист6" sheetId="6" r:id="rId6"/>
    <sheet name="Лист7" sheetId="7" r:id="rId7"/>
    <sheet name="Лист8" sheetId="8" r:id="rId8"/>
    <sheet name="Лист9" sheetId="9" r:id="rId9"/>
    <sheet name="Лист10" sheetId="10" r:id="rId10"/>
    <sheet name="Лист11" sheetId="11" r:id="rId11"/>
    <sheet name="Лист12" sheetId="12" r:id="rId12"/>
    <sheet name="Лист13" sheetId="13" r:id="rId13"/>
    <sheet name="Лист14" sheetId="14" r:id="rId14"/>
    <sheet name="Лист15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5" l="1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4" i="15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4" i="14"/>
  <c r="C5" i="13"/>
  <c r="C6" i="13"/>
  <c r="C7" i="13"/>
  <c r="C8" i="13"/>
  <c r="C9" i="13"/>
  <c r="C10" i="13"/>
  <c r="C11" i="13"/>
  <c r="C12" i="13"/>
  <c r="C13" i="13"/>
  <c r="C14" i="13"/>
  <c r="C4" i="13"/>
  <c r="B5" i="13"/>
  <c r="B6" i="13"/>
  <c r="B7" i="13"/>
  <c r="B8" i="13"/>
  <c r="B9" i="13"/>
  <c r="B10" i="13"/>
  <c r="B11" i="13"/>
  <c r="B12" i="13"/>
  <c r="B13" i="13"/>
  <c r="B14" i="13"/>
  <c r="B4" i="13"/>
  <c r="C5" i="12"/>
  <c r="C6" i="12"/>
  <c r="C7" i="12"/>
  <c r="C8" i="12"/>
  <c r="C9" i="12"/>
  <c r="C10" i="12"/>
  <c r="C11" i="12"/>
  <c r="C12" i="12"/>
  <c r="C13" i="12"/>
  <c r="C14" i="12"/>
  <c r="C4" i="12"/>
  <c r="B5" i="12"/>
  <c r="B6" i="12"/>
  <c r="B7" i="12"/>
  <c r="B8" i="12"/>
  <c r="B9" i="12"/>
  <c r="B10" i="12"/>
  <c r="B11" i="12"/>
  <c r="B12" i="12"/>
  <c r="B13" i="12"/>
  <c r="B14" i="12"/>
  <c r="B4" i="12"/>
  <c r="C5" i="11"/>
  <c r="C6" i="11"/>
  <c r="C7" i="11"/>
  <c r="C8" i="11"/>
  <c r="C9" i="11"/>
  <c r="C10" i="11"/>
  <c r="C11" i="11"/>
  <c r="C12" i="11"/>
  <c r="C13" i="11"/>
  <c r="C14" i="11"/>
  <c r="C15" i="11"/>
  <c r="C16" i="11"/>
  <c r="C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4" i="11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4" i="10"/>
  <c r="C5" i="9"/>
  <c r="C6" i="9"/>
  <c r="C7" i="9"/>
  <c r="C8" i="9"/>
  <c r="C9" i="9"/>
  <c r="C10" i="9"/>
  <c r="C11" i="9"/>
  <c r="C12" i="9"/>
  <c r="C13" i="9"/>
  <c r="C14" i="9"/>
  <c r="C15" i="9"/>
  <c r="C16" i="9"/>
  <c r="C4" i="9"/>
  <c r="B5" i="9"/>
  <c r="B6" i="9"/>
  <c r="B7" i="9"/>
  <c r="B8" i="9"/>
  <c r="B9" i="9"/>
  <c r="B10" i="9"/>
  <c r="B11" i="9"/>
  <c r="B12" i="9"/>
  <c r="B13" i="9"/>
  <c r="B14" i="9"/>
  <c r="B15" i="9"/>
  <c r="B16" i="9"/>
  <c r="B4" i="9"/>
  <c r="C15" i="6"/>
  <c r="C16" i="6"/>
  <c r="C17" i="6"/>
  <c r="C18" i="6"/>
  <c r="C19" i="6"/>
  <c r="B15" i="6"/>
  <c r="B16" i="6"/>
  <c r="B17" i="6"/>
  <c r="B18" i="6"/>
  <c r="B19" i="6"/>
  <c r="C15" i="5"/>
  <c r="C16" i="5"/>
  <c r="C17" i="5"/>
  <c r="B17" i="5"/>
  <c r="B16" i="5"/>
  <c r="B15" i="5"/>
  <c r="C5" i="5"/>
  <c r="C6" i="5"/>
  <c r="C7" i="5"/>
  <c r="C8" i="5"/>
  <c r="C9" i="5"/>
  <c r="C10" i="5"/>
  <c r="C11" i="5"/>
  <c r="C12" i="5"/>
  <c r="C15" i="4"/>
  <c r="C16" i="4"/>
  <c r="C17" i="4"/>
  <c r="C18" i="4"/>
  <c r="B15" i="4"/>
  <c r="B16" i="4"/>
  <c r="B17" i="4"/>
  <c r="B18" i="4"/>
  <c r="C5" i="8"/>
  <c r="C6" i="8"/>
  <c r="C7" i="8"/>
  <c r="C8" i="8"/>
  <c r="C9" i="8"/>
  <c r="C10" i="8"/>
  <c r="C11" i="8"/>
  <c r="C12" i="8"/>
  <c r="C13" i="8"/>
  <c r="C14" i="8"/>
  <c r="C4" i="8"/>
  <c r="B5" i="8"/>
  <c r="B6" i="8"/>
  <c r="B7" i="8"/>
  <c r="B8" i="8"/>
  <c r="B9" i="8"/>
  <c r="B10" i="8"/>
  <c r="B11" i="8"/>
  <c r="B12" i="8"/>
  <c r="B13" i="8"/>
  <c r="B14" i="8"/>
  <c r="B4" i="8"/>
  <c r="B5" i="7"/>
  <c r="B6" i="7"/>
  <c r="B7" i="7"/>
  <c r="B8" i="7"/>
  <c r="B9" i="7"/>
  <c r="B10" i="7"/>
  <c r="B11" i="7"/>
  <c r="B12" i="7"/>
  <c r="B13" i="7"/>
  <c r="B4" i="7"/>
  <c r="B4" i="6"/>
  <c r="C5" i="6"/>
  <c r="C6" i="6"/>
  <c r="C7" i="6"/>
  <c r="C8" i="6"/>
  <c r="C9" i="6"/>
  <c r="C10" i="6"/>
  <c r="C11" i="6"/>
  <c r="C12" i="6"/>
  <c r="C13" i="6"/>
  <c r="C14" i="6"/>
  <c r="C4" i="6"/>
  <c r="B5" i="6"/>
  <c r="B6" i="6"/>
  <c r="B7" i="6"/>
  <c r="B8" i="6"/>
  <c r="B9" i="6"/>
  <c r="B10" i="6"/>
  <c r="B11" i="6"/>
  <c r="B12" i="6"/>
  <c r="B13" i="6"/>
  <c r="B14" i="6"/>
  <c r="B14" i="5"/>
  <c r="C13" i="5"/>
  <c r="C14" i="5"/>
  <c r="C4" i="5"/>
  <c r="B5" i="5"/>
  <c r="B6" i="5"/>
  <c r="B7" i="5"/>
  <c r="B8" i="5"/>
  <c r="B9" i="5"/>
  <c r="B10" i="5"/>
  <c r="B11" i="5"/>
  <c r="B12" i="5"/>
  <c r="B13" i="5"/>
  <c r="B4" i="5"/>
  <c r="C5" i="4"/>
  <c r="C6" i="4"/>
  <c r="C7" i="4"/>
  <c r="C8" i="4"/>
  <c r="C9" i="4"/>
  <c r="C10" i="4"/>
  <c r="C11" i="4"/>
  <c r="C12" i="4"/>
  <c r="C13" i="4"/>
  <c r="C14" i="4"/>
  <c r="C4" i="4"/>
  <c r="B5" i="4"/>
  <c r="B6" i="4"/>
  <c r="B7" i="4"/>
  <c r="B8" i="4"/>
  <c r="B9" i="4"/>
  <c r="B10" i="4"/>
  <c r="B11" i="4"/>
  <c r="B12" i="4"/>
  <c r="B13" i="4"/>
  <c r="B14" i="4"/>
  <c r="B4" i="4"/>
  <c r="C15" i="3"/>
  <c r="C16" i="3"/>
  <c r="C17" i="3"/>
  <c r="C5" i="3"/>
  <c r="B15" i="3"/>
  <c r="B16" i="3"/>
  <c r="B17" i="3"/>
  <c r="C6" i="3"/>
  <c r="C7" i="3"/>
  <c r="C8" i="3"/>
  <c r="C9" i="3"/>
  <c r="C10" i="3"/>
  <c r="C11" i="3"/>
  <c r="C12" i="3"/>
  <c r="C13" i="3"/>
  <c r="C14" i="3"/>
  <c r="C4" i="3"/>
  <c r="B5" i="3"/>
  <c r="B6" i="3"/>
  <c r="B7" i="3"/>
  <c r="B8" i="3"/>
  <c r="B9" i="3"/>
  <c r="B10" i="3"/>
  <c r="B11" i="3"/>
  <c r="B12" i="3"/>
  <c r="B13" i="3"/>
  <c r="B14" i="3"/>
  <c r="B4" i="3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C25" i="2"/>
  <c r="C26" i="2"/>
  <c r="C15" i="2"/>
  <c r="C16" i="2"/>
  <c r="C17" i="2"/>
  <c r="C18" i="2"/>
  <c r="C19" i="2"/>
  <c r="C20" i="2"/>
  <c r="C21" i="2"/>
  <c r="C22" i="2"/>
  <c r="C23" i="2"/>
  <c r="C24" i="2"/>
  <c r="C4" i="2"/>
  <c r="C5" i="2"/>
  <c r="C6" i="2"/>
  <c r="C7" i="2"/>
  <c r="C8" i="2"/>
  <c r="C9" i="2"/>
  <c r="C10" i="2"/>
  <c r="C11" i="2"/>
  <c r="C12" i="2"/>
  <c r="C13" i="2"/>
  <c r="C14" i="2"/>
  <c r="B5" i="2"/>
  <c r="B6" i="2"/>
  <c r="B4" i="2"/>
  <c r="C5" i="1"/>
  <c r="C6" i="1"/>
  <c r="C7" i="1"/>
  <c r="C8" i="1"/>
  <c r="C9" i="1"/>
  <c r="C10" i="1"/>
  <c r="C11" i="1"/>
  <c r="C12" i="1"/>
  <c r="C13" i="1"/>
  <c r="C14" i="1"/>
  <c r="C4" i="1"/>
  <c r="B5" i="1"/>
  <c r="B6" i="1"/>
  <c r="B7" i="1"/>
  <c r="B8" i="1"/>
  <c r="B9" i="1"/>
  <c r="B10" i="1"/>
  <c r="B11" i="1"/>
  <c r="B12" i="1"/>
  <c r="B13" i="1"/>
  <c r="B14" i="1"/>
  <c r="B4" i="1"/>
</calcChain>
</file>

<file path=xl/sharedStrings.xml><?xml version="1.0" encoding="utf-8"?>
<sst xmlns="http://schemas.openxmlformats.org/spreadsheetml/2006/main" count="60" uniqueCount="41">
  <si>
    <r>
      <t>Найти корни уравнения (0,2x)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charset val="204"/>
        <scheme val="minor"/>
      </rPr>
      <t>-cosx=y</t>
    </r>
  </si>
  <si>
    <t>x</t>
  </si>
  <si>
    <t xml:space="preserve"> (0,2*x)^3</t>
  </si>
  <si>
    <t>cosx</t>
  </si>
  <si>
    <t>x=2</t>
  </si>
  <si>
    <t>Найти корни уравнения (x-10sinx)=0</t>
  </si>
  <si>
    <t>10*sinx</t>
  </si>
  <si>
    <r>
      <t>Найти корни уравнения 2</t>
    </r>
    <r>
      <rPr>
        <vertAlign val="superscript"/>
        <sz val="11"/>
        <color theme="1"/>
        <rFont val="Calibri"/>
        <family val="2"/>
        <charset val="204"/>
        <scheme val="minor"/>
      </rPr>
      <t>-x</t>
    </r>
    <r>
      <rPr>
        <sz val="11"/>
        <color theme="1"/>
        <rFont val="Calibri"/>
        <family val="2"/>
        <charset val="204"/>
        <scheme val="minor"/>
      </rPr>
      <t>=sinx</t>
    </r>
  </si>
  <si>
    <t>2^-x</t>
  </si>
  <si>
    <t>sinx</t>
  </si>
  <si>
    <r>
      <t>Найти корни уравнения 2</t>
    </r>
    <r>
      <rPr>
        <vertAlign val="superscript"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charset val="204"/>
        <scheme val="minor"/>
      </rPr>
      <t>-2cosx=0</t>
    </r>
  </si>
  <si>
    <t>2^x</t>
  </si>
  <si>
    <t>2cosx</t>
  </si>
  <si>
    <t>Найти корни уравнения lg(x+5)=cosx</t>
  </si>
  <si>
    <t>lg(x+5)</t>
  </si>
  <si>
    <t>Найти корни уравнения √4x+7=3cosx</t>
  </si>
  <si>
    <t>√4x+7</t>
  </si>
  <si>
    <t>3cosx</t>
  </si>
  <si>
    <t>Найти корни уравнения xsinx-1=0</t>
  </si>
  <si>
    <t>x*sinx</t>
  </si>
  <si>
    <t>Найти корни уравнения 8cosx-x=6</t>
  </si>
  <si>
    <t>8cosx</t>
  </si>
  <si>
    <t>x+6</t>
  </si>
  <si>
    <t>Найти корни уравнения sinx-0,2x=0</t>
  </si>
  <si>
    <t>0,2x</t>
  </si>
  <si>
    <t>Найти корни уравнения 10cosx-0,1x^2=0</t>
  </si>
  <si>
    <t>10cosx</t>
  </si>
  <si>
    <t>0,1x^2</t>
  </si>
  <si>
    <t>Найти корни уравнения 2lg(x+7)-5sinx=0</t>
  </si>
  <si>
    <t>2lg(x+7)</t>
  </si>
  <si>
    <t>5sinx</t>
  </si>
  <si>
    <t>Найти корни уравнения 4cosx+0,3x=0</t>
  </si>
  <si>
    <t>4cosx</t>
  </si>
  <si>
    <t>-0,3x</t>
  </si>
  <si>
    <t>Найти корни уравнения √1-x=5sin2x</t>
  </si>
  <si>
    <t>√1-x</t>
  </si>
  <si>
    <t>5sin(2x)</t>
  </si>
  <si>
    <r>
      <t>Найти корни уравнения 2x</t>
    </r>
    <r>
      <rPr>
        <vertAlign val="superscript"/>
        <sz val="11"/>
        <color theme="1"/>
        <rFont val="Calibri"/>
        <family val="2"/>
        <charset val="204"/>
        <scheme val="minor"/>
      </rPr>
      <t>2</t>
    </r>
    <r>
      <rPr>
        <sz val="11"/>
        <color theme="1"/>
        <rFont val="Calibri"/>
        <family val="2"/>
        <charset val="204"/>
        <scheme val="minor"/>
      </rPr>
      <t>-5=2</t>
    </r>
    <r>
      <rPr>
        <vertAlign val="superscript"/>
        <sz val="11"/>
        <color theme="1"/>
        <rFont val="Calibri"/>
        <family val="2"/>
        <charset val="204"/>
        <scheme val="minor"/>
      </rPr>
      <t>x</t>
    </r>
  </si>
  <si>
    <t>2x^2-5</t>
  </si>
  <si>
    <r>
      <t>Найти корни уравнения 10-0,5x</t>
    </r>
    <r>
      <rPr>
        <vertAlign val="superscript"/>
        <sz val="11"/>
        <color theme="1"/>
        <rFont val="Calibri"/>
        <family val="2"/>
        <charset val="204"/>
        <scheme val="minor"/>
      </rPr>
      <t>2</t>
    </r>
    <r>
      <rPr>
        <sz val="11"/>
        <color theme="1"/>
        <rFont val="Calibri"/>
        <family val="2"/>
        <charset val="204"/>
        <scheme val="minor"/>
      </rPr>
      <t>=2</t>
    </r>
    <r>
      <rPr>
        <vertAlign val="superscript"/>
        <sz val="11"/>
        <color theme="1"/>
        <rFont val="Calibri"/>
        <family val="2"/>
        <charset val="204"/>
        <scheme val="minor"/>
      </rPr>
      <t>-x</t>
    </r>
  </si>
  <si>
    <t>10-0,5x^2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</si>
</sst>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vertAlign val="superscript"/>
      <sz val="11"/>
      <color theme="1"/>
      <name val="Calibri"/>
      <family val="2"/>
      <charset val="204"/>
      <scheme val="minor"/>
    </font>
    <font>
      <sz val="11"/>
      <color theme="1"/>
      <name val="Agency FB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1" xfId="0" applyNumberFormat="1" applyBorder="1" applyAlignment="1">
      <alignment horizontal="center" vertical="center"/>
    </xf>
    <xf numFmtId="0" fontId="1" fillId="0" borderId="0" xfId="0" applyFont="1"/>
    <xf numFmtId="0" fontId="3" fillId="0" borderId="0" xfId="0" applyFont="1"/>
    <xf numFmtId="2" fontId="0" fillId="0" borderId="1" xfId="0" quotePrefix="1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Лист1!$B$3</c:f>
              <c:strCache>
                <c:ptCount val="1"/>
                <c:pt idx="0">
                  <c:v> (0,2*x)^3</c:v>
                </c:pt>
              </c:strCache>
            </c:strRef>
          </c:tx>
          <c:marker>
            <c:symbol val="none"/>
          </c:marker>
          <c:xVal>
            <c:numRef>
              <c:f>Лист1!$A$4:$A$14</c:f>
              <c:numCache>
                <c:formatCode>0.00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Лист1!$B$4:$B$14</c:f>
              <c:numCache>
                <c:formatCode>0.00</c:formatCode>
                <c:ptCount val="11"/>
                <c:pt idx="0">
                  <c:v>0</c:v>
                </c:pt>
                <c:pt idx="1">
                  <c:v>8.0000000000000019E-3</c:v>
                </c:pt>
                <c:pt idx="2">
                  <c:v>6.4000000000000015E-2</c:v>
                </c:pt>
                <c:pt idx="3">
                  <c:v>0.21600000000000008</c:v>
                </c:pt>
                <c:pt idx="4">
                  <c:v>0.51200000000000012</c:v>
                </c:pt>
                <c:pt idx="5">
                  <c:v>1</c:v>
                </c:pt>
                <c:pt idx="6">
                  <c:v>1.7280000000000006</c:v>
                </c:pt>
                <c:pt idx="7">
                  <c:v>2.7440000000000007</c:v>
                </c:pt>
                <c:pt idx="8">
                  <c:v>4.096000000000001</c:v>
                </c:pt>
                <c:pt idx="9">
                  <c:v>5.8320000000000007</c:v>
                </c:pt>
                <c:pt idx="10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20-4CE9-AAEC-F0D02FAFD9A4}"/>
            </c:ext>
          </c:extLst>
        </c:ser>
        <c:ser>
          <c:idx val="1"/>
          <c:order val="1"/>
          <c:tx>
            <c:strRef>
              <c:f>Лист1!$C$3</c:f>
              <c:strCache>
                <c:ptCount val="1"/>
                <c:pt idx="0">
                  <c:v>cosx</c:v>
                </c:pt>
              </c:strCache>
            </c:strRef>
          </c:tx>
          <c:marker>
            <c:symbol val="none"/>
          </c:marker>
          <c:xVal>
            <c:numRef>
              <c:f>Лист1!$A$4:$A$14</c:f>
              <c:numCache>
                <c:formatCode>0.00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Лист1!$C$4:$C$14</c:f>
              <c:numCache>
                <c:formatCode>0.00</c:formatCode>
                <c:ptCount val="11"/>
                <c:pt idx="0">
                  <c:v>1</c:v>
                </c:pt>
                <c:pt idx="1">
                  <c:v>0.54030230586813977</c:v>
                </c:pt>
                <c:pt idx="2">
                  <c:v>-0.41614683654714241</c:v>
                </c:pt>
                <c:pt idx="3">
                  <c:v>-0.98999249660044542</c:v>
                </c:pt>
                <c:pt idx="4">
                  <c:v>-0.65364362086361194</c:v>
                </c:pt>
                <c:pt idx="5">
                  <c:v>0.28366218546322625</c:v>
                </c:pt>
                <c:pt idx="6">
                  <c:v>0.96017028665036597</c:v>
                </c:pt>
                <c:pt idx="7">
                  <c:v>0.7539022543433046</c:v>
                </c:pt>
                <c:pt idx="8">
                  <c:v>-0.14550003380861354</c:v>
                </c:pt>
                <c:pt idx="9">
                  <c:v>-0.91113026188467694</c:v>
                </c:pt>
                <c:pt idx="10">
                  <c:v>-0.83907152907645244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20-4CE9-AAEC-F0D02FAFD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91136"/>
        <c:axId val="98490560"/>
      </c:scatterChart>
      <c:valAx>
        <c:axId val="98491136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98490560"/>
        <c:crosses val="autoZero"/>
        <c:crossBetween val="midCat"/>
      </c:valAx>
      <c:valAx>
        <c:axId val="98490560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9849113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Лист2!$B$3</c:f>
              <c:strCache>
                <c:ptCount val="1"/>
                <c:pt idx="0">
                  <c:v>x</c:v>
                </c:pt>
              </c:strCache>
            </c:strRef>
          </c:tx>
          <c:marker>
            <c:symbol val="none"/>
          </c:marker>
          <c:xVal>
            <c:numRef>
              <c:f>Лист2!$A$4:$A$26</c:f>
              <c:numCache>
                <c:formatCode>0.00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xVal>
          <c:yVal>
            <c:numRef>
              <c:f>Лист2!$B$4:$B$26</c:f>
              <c:numCache>
                <c:formatCode>0.00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56-4D00-A9FA-C4E278B28274}"/>
            </c:ext>
          </c:extLst>
        </c:ser>
        <c:ser>
          <c:idx val="1"/>
          <c:order val="1"/>
          <c:tx>
            <c:strRef>
              <c:f>Лист2!$C$3</c:f>
              <c:strCache>
                <c:ptCount val="1"/>
                <c:pt idx="0">
                  <c:v>10*sinx</c:v>
                </c:pt>
              </c:strCache>
            </c:strRef>
          </c:tx>
          <c:marker>
            <c:symbol val="none"/>
          </c:marker>
          <c:xVal>
            <c:numRef>
              <c:f>Лист2!$A$4:$A$26</c:f>
              <c:numCache>
                <c:formatCode>0.00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xVal>
          <c:yVal>
            <c:numRef>
              <c:f>Лист2!$C$4:$C$26</c:f>
              <c:numCache>
                <c:formatCode>0.00</c:formatCode>
                <c:ptCount val="23"/>
                <c:pt idx="0">
                  <c:v>0</c:v>
                </c:pt>
                <c:pt idx="1">
                  <c:v>8.4147098480789655</c:v>
                </c:pt>
                <c:pt idx="2">
                  <c:v>9.0929742682568175</c:v>
                </c:pt>
                <c:pt idx="3">
                  <c:v>1.4112000805986722</c:v>
                </c:pt>
                <c:pt idx="4">
                  <c:v>-7.5680249530792825</c:v>
                </c:pt>
                <c:pt idx="5">
                  <c:v>-9.5892427466313848</c:v>
                </c:pt>
                <c:pt idx="6">
                  <c:v>-2.7941549819892586</c:v>
                </c:pt>
                <c:pt idx="7">
                  <c:v>6.5698659871878906</c:v>
                </c:pt>
                <c:pt idx="8">
                  <c:v>9.8935824662338181</c:v>
                </c:pt>
                <c:pt idx="9">
                  <c:v>4.1211848524175663</c:v>
                </c:pt>
                <c:pt idx="10">
                  <c:v>-5.4402111088936973</c:v>
                </c:pt>
                <c:pt idx="11">
                  <c:v>-9.999902065507035</c:v>
                </c:pt>
                <c:pt idx="12">
                  <c:v>-5.3657291800043492</c:v>
                </c:pt>
                <c:pt idx="13">
                  <c:v>4.2016703682664094</c:v>
                </c:pt>
                <c:pt idx="14">
                  <c:v>9.9060735569487033</c:v>
                </c:pt>
                <c:pt idx="15">
                  <c:v>6.5028784015711683</c:v>
                </c:pt>
                <c:pt idx="16">
                  <c:v>-2.879033166650653</c:v>
                </c:pt>
                <c:pt idx="17">
                  <c:v>-9.6139749187955683</c:v>
                </c:pt>
                <c:pt idx="18">
                  <c:v>-7.509872467716761</c:v>
                </c:pt>
                <c:pt idx="19">
                  <c:v>1.4987720966295235</c:v>
                </c:pt>
                <c:pt idx="20">
                  <c:v>9.1294525072762767</c:v>
                </c:pt>
                <c:pt idx="21">
                  <c:v>8.3665563853605605</c:v>
                </c:pt>
                <c:pt idx="22">
                  <c:v>-8.8513092904038762E-2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056-4D00-A9FA-C4E278B28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561344"/>
        <c:axId val="157560768"/>
      </c:scatterChart>
      <c:valAx>
        <c:axId val="157561344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157560768"/>
        <c:crosses val="autoZero"/>
        <c:crossBetween val="midCat"/>
      </c:valAx>
      <c:valAx>
        <c:axId val="157560768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5756134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Лист3!$B$3</c:f>
              <c:strCache>
                <c:ptCount val="1"/>
                <c:pt idx="0">
                  <c:v>2^-x</c:v>
                </c:pt>
              </c:strCache>
            </c:strRef>
          </c:tx>
          <c:marker>
            <c:symbol val="none"/>
          </c:marker>
          <c:xVal>
            <c:numRef>
              <c:f>Лист3!$A$4:$A$14</c:f>
              <c:numCache>
                <c:formatCode>0.00</c:formatCode>
                <c:ptCount val="11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-1</c:v>
                </c:pt>
              </c:numCache>
            </c:numRef>
          </c:xVal>
          <c:yVal>
            <c:numRef>
              <c:f>Лист3!$B$4:$B$14</c:f>
              <c:numCache>
                <c:formatCode>0.00</c:formatCode>
                <c:ptCount val="11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B4-48FA-9B50-AACE83FB2DEB}"/>
            </c:ext>
          </c:extLst>
        </c:ser>
        <c:ser>
          <c:idx val="1"/>
          <c:order val="1"/>
          <c:tx>
            <c:strRef>
              <c:f>Лист3!$C$3</c:f>
              <c:strCache>
                <c:ptCount val="1"/>
                <c:pt idx="0">
                  <c:v>sinx</c:v>
                </c:pt>
              </c:strCache>
            </c:strRef>
          </c:tx>
          <c:marker>
            <c:symbol val="none"/>
          </c:marker>
          <c:xVal>
            <c:numRef>
              <c:f>Лист3!$A$4:$A$14</c:f>
              <c:numCache>
                <c:formatCode>0.00</c:formatCode>
                <c:ptCount val="11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-1</c:v>
                </c:pt>
              </c:numCache>
            </c:numRef>
          </c:xVal>
          <c:yVal>
            <c:numRef>
              <c:f>Лист3!$C$4:$C$14</c:f>
              <c:numCache>
                <c:formatCode>0.00</c:formatCode>
                <c:ptCount val="11"/>
                <c:pt idx="0">
                  <c:v>0.41211848524175659</c:v>
                </c:pt>
                <c:pt idx="1">
                  <c:v>0.98935824662338179</c:v>
                </c:pt>
                <c:pt idx="2">
                  <c:v>0.65698659871878906</c:v>
                </c:pt>
                <c:pt idx="3">
                  <c:v>-0.27941549819892586</c:v>
                </c:pt>
                <c:pt idx="4">
                  <c:v>-0.95892427466313845</c:v>
                </c:pt>
                <c:pt idx="5">
                  <c:v>-0.7568024953079282</c:v>
                </c:pt>
                <c:pt idx="6">
                  <c:v>0.14112000805986721</c:v>
                </c:pt>
                <c:pt idx="7">
                  <c:v>0.90929742682568171</c:v>
                </c:pt>
                <c:pt idx="8">
                  <c:v>0.8414709848078965</c:v>
                </c:pt>
                <c:pt idx="9">
                  <c:v>0</c:v>
                </c:pt>
                <c:pt idx="10">
                  <c:v>-0.8414709848078965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B4-48FA-9B50-AACE83FB2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563648"/>
        <c:axId val="157563072"/>
      </c:scatterChart>
      <c:valAx>
        <c:axId val="157563648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157563072"/>
        <c:crosses val="autoZero"/>
        <c:crossBetween val="midCat"/>
      </c:valAx>
      <c:valAx>
        <c:axId val="15756307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5756364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Лист4!$B$3</c:f>
              <c:strCache>
                <c:ptCount val="1"/>
                <c:pt idx="0">
                  <c:v>2^x</c:v>
                </c:pt>
              </c:strCache>
            </c:strRef>
          </c:tx>
          <c:marker>
            <c:symbol val="none"/>
          </c:marker>
          <c:xVal>
            <c:numRef>
              <c:f>Лист4!$A$4:$A$14</c:f>
              <c:numCache>
                <c:formatCode>0.00</c:formatCode>
                <c:ptCount val="11"/>
                <c:pt idx="0">
                  <c:v>-9</c:v>
                </c:pt>
                <c:pt idx="1">
                  <c:v>-8</c:v>
                </c:pt>
                <c:pt idx="2">
                  <c:v>-7</c:v>
                </c:pt>
                <c:pt idx="3">
                  <c:v>-6</c:v>
                </c:pt>
                <c:pt idx="4">
                  <c:v>-5</c:v>
                </c:pt>
                <c:pt idx="5">
                  <c:v>-4</c:v>
                </c:pt>
                <c:pt idx="6">
                  <c:v>-3</c:v>
                </c:pt>
                <c:pt idx="7">
                  <c:v>-2</c:v>
                </c:pt>
                <c:pt idx="8">
                  <c:v>-1</c:v>
                </c:pt>
                <c:pt idx="9">
                  <c:v>0</c:v>
                </c:pt>
                <c:pt idx="10">
                  <c:v>1</c:v>
                </c:pt>
              </c:numCache>
            </c:numRef>
          </c:xVal>
          <c:yVal>
            <c:numRef>
              <c:f>Лист4!$B$4:$B$14</c:f>
              <c:numCache>
                <c:formatCode>0.00</c:formatCode>
                <c:ptCount val="11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A5-4C26-A63F-7694058487C0}"/>
            </c:ext>
          </c:extLst>
        </c:ser>
        <c:ser>
          <c:idx val="1"/>
          <c:order val="1"/>
          <c:tx>
            <c:strRef>
              <c:f>Лист4!$C$3</c:f>
              <c:strCache>
                <c:ptCount val="1"/>
                <c:pt idx="0">
                  <c:v>2cosx</c:v>
                </c:pt>
              </c:strCache>
            </c:strRef>
          </c:tx>
          <c:marker>
            <c:symbol val="none"/>
          </c:marker>
          <c:xVal>
            <c:numRef>
              <c:f>Лист4!$A$4:$A$14</c:f>
              <c:numCache>
                <c:formatCode>0.00</c:formatCode>
                <c:ptCount val="11"/>
                <c:pt idx="0">
                  <c:v>-9</c:v>
                </c:pt>
                <c:pt idx="1">
                  <c:v>-8</c:v>
                </c:pt>
                <c:pt idx="2">
                  <c:v>-7</c:v>
                </c:pt>
                <c:pt idx="3">
                  <c:v>-6</c:v>
                </c:pt>
                <c:pt idx="4">
                  <c:v>-5</c:v>
                </c:pt>
                <c:pt idx="5">
                  <c:v>-4</c:v>
                </c:pt>
                <c:pt idx="6">
                  <c:v>-3</c:v>
                </c:pt>
                <c:pt idx="7">
                  <c:v>-2</c:v>
                </c:pt>
                <c:pt idx="8">
                  <c:v>-1</c:v>
                </c:pt>
                <c:pt idx="9">
                  <c:v>0</c:v>
                </c:pt>
                <c:pt idx="10">
                  <c:v>1</c:v>
                </c:pt>
              </c:numCache>
            </c:numRef>
          </c:xVal>
          <c:yVal>
            <c:numRef>
              <c:f>Лист4!$C$4:$C$14</c:f>
              <c:numCache>
                <c:formatCode>0.00</c:formatCode>
                <c:ptCount val="11"/>
                <c:pt idx="0">
                  <c:v>-1.8222605237693539</c:v>
                </c:pt>
                <c:pt idx="1">
                  <c:v>-0.29100006761722708</c:v>
                </c:pt>
                <c:pt idx="2">
                  <c:v>1.5078045086866092</c:v>
                </c:pt>
                <c:pt idx="3">
                  <c:v>1.9203405733007319</c:v>
                </c:pt>
                <c:pt idx="4">
                  <c:v>0.56732437092645249</c:v>
                </c:pt>
                <c:pt idx="5">
                  <c:v>-1.3072872417272239</c:v>
                </c:pt>
                <c:pt idx="6">
                  <c:v>-1.9799849932008908</c:v>
                </c:pt>
                <c:pt idx="7">
                  <c:v>-0.83229367309428481</c:v>
                </c:pt>
                <c:pt idx="8">
                  <c:v>1.0806046117362795</c:v>
                </c:pt>
                <c:pt idx="9">
                  <c:v>2</c:v>
                </c:pt>
                <c:pt idx="10">
                  <c:v>1.0806046117362795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A5-4C26-A63F-7694058487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457408"/>
        <c:axId val="131835008"/>
      </c:scatterChart>
      <c:valAx>
        <c:axId val="179457408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131835008"/>
        <c:crosses val="autoZero"/>
        <c:crossBetween val="midCat"/>
      </c:valAx>
      <c:valAx>
        <c:axId val="131835008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945740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Лист5!$B$3</c:f>
              <c:strCache>
                <c:ptCount val="1"/>
                <c:pt idx="0">
                  <c:v>lg(x+5)</c:v>
                </c:pt>
              </c:strCache>
            </c:strRef>
          </c:tx>
          <c:marker>
            <c:symbol val="none"/>
          </c:marker>
          <c:xVal>
            <c:numRef>
              <c:f>Лист5!$A$4:$A$14</c:f>
              <c:numCache>
                <c:formatCode>0.00</c:formatCode>
                <c:ptCount val="11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-1</c:v>
                </c:pt>
                <c:pt idx="6">
                  <c:v>-2</c:v>
                </c:pt>
                <c:pt idx="7">
                  <c:v>-3</c:v>
                </c:pt>
                <c:pt idx="8">
                  <c:v>-4</c:v>
                </c:pt>
                <c:pt idx="9">
                  <c:v>-5</c:v>
                </c:pt>
                <c:pt idx="10">
                  <c:v>-6</c:v>
                </c:pt>
              </c:numCache>
            </c:numRef>
          </c:xVal>
          <c:yVal>
            <c:numRef>
              <c:f>Лист5!$B$4:$B$14</c:f>
              <c:numCache>
                <c:formatCode>0.00</c:formatCode>
                <c:ptCount val="11"/>
                <c:pt idx="0">
                  <c:v>0.95424250943932487</c:v>
                </c:pt>
                <c:pt idx="1">
                  <c:v>0.90308998699194354</c:v>
                </c:pt>
                <c:pt idx="2">
                  <c:v>0.84509804001425681</c:v>
                </c:pt>
                <c:pt idx="3">
                  <c:v>0.77815125038364363</c:v>
                </c:pt>
                <c:pt idx="4">
                  <c:v>0.69897000433601886</c:v>
                </c:pt>
                <c:pt idx="5">
                  <c:v>0.6020599913279624</c:v>
                </c:pt>
                <c:pt idx="6">
                  <c:v>0.47712125471966244</c:v>
                </c:pt>
                <c:pt idx="7">
                  <c:v>0.3010299956639812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31-46C1-92BC-437A31F6E389}"/>
            </c:ext>
          </c:extLst>
        </c:ser>
        <c:ser>
          <c:idx val="1"/>
          <c:order val="1"/>
          <c:tx>
            <c:strRef>
              <c:f>Лист5!$C$3</c:f>
              <c:strCache>
                <c:ptCount val="1"/>
                <c:pt idx="0">
                  <c:v>cosx</c:v>
                </c:pt>
              </c:strCache>
            </c:strRef>
          </c:tx>
          <c:marker>
            <c:symbol val="none"/>
          </c:marker>
          <c:xVal>
            <c:numRef>
              <c:f>Лист5!$A$4:$A$14</c:f>
              <c:numCache>
                <c:formatCode>0.00</c:formatCode>
                <c:ptCount val="11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-1</c:v>
                </c:pt>
                <c:pt idx="6">
                  <c:v>-2</c:v>
                </c:pt>
                <c:pt idx="7">
                  <c:v>-3</c:v>
                </c:pt>
                <c:pt idx="8">
                  <c:v>-4</c:v>
                </c:pt>
                <c:pt idx="9">
                  <c:v>-5</c:v>
                </c:pt>
                <c:pt idx="10">
                  <c:v>-6</c:v>
                </c:pt>
              </c:numCache>
            </c:numRef>
          </c:xVal>
          <c:yVal>
            <c:numRef>
              <c:f>Лист5!$C$4:$C$14</c:f>
              <c:numCache>
                <c:formatCode>0.00</c:formatCode>
                <c:ptCount val="11"/>
                <c:pt idx="0">
                  <c:v>-0.65364362086361194</c:v>
                </c:pt>
                <c:pt idx="1">
                  <c:v>-0.98999249660044542</c:v>
                </c:pt>
                <c:pt idx="2">
                  <c:v>-0.41614683654714241</c:v>
                </c:pt>
                <c:pt idx="3">
                  <c:v>0.54030230586813977</c:v>
                </c:pt>
                <c:pt idx="4">
                  <c:v>1</c:v>
                </c:pt>
                <c:pt idx="5">
                  <c:v>0.54030230586813977</c:v>
                </c:pt>
                <c:pt idx="6">
                  <c:v>-0.41614683654714241</c:v>
                </c:pt>
                <c:pt idx="7">
                  <c:v>-0.98999249660044542</c:v>
                </c:pt>
                <c:pt idx="8">
                  <c:v>-0.65364362086361194</c:v>
                </c:pt>
                <c:pt idx="9">
                  <c:v>0.28366218546322625</c:v>
                </c:pt>
                <c:pt idx="10">
                  <c:v>0.96017028665036597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31-46C1-92BC-437A31F6E3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153088"/>
        <c:axId val="98484800"/>
      </c:scatterChart>
      <c:valAx>
        <c:axId val="111153088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98484800"/>
        <c:crosses val="autoZero"/>
        <c:crossBetween val="midCat"/>
      </c:valAx>
      <c:valAx>
        <c:axId val="98484800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111530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Лист6!$B$3</c:f>
              <c:strCache>
                <c:ptCount val="1"/>
                <c:pt idx="0">
                  <c:v>√4x+7</c:v>
                </c:pt>
              </c:strCache>
            </c:strRef>
          </c:tx>
          <c:marker>
            <c:symbol val="none"/>
          </c:marker>
          <c:xVal>
            <c:numRef>
              <c:f>Лист6!$A$4:$A$14</c:f>
              <c:numCache>
                <c:formatCode>0.00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Лист6!$B$4:$B$14</c:f>
              <c:numCache>
                <c:formatCode>0.00</c:formatCode>
                <c:ptCount val="11"/>
                <c:pt idx="0">
                  <c:v>2.6457513110645907</c:v>
                </c:pt>
                <c:pt idx="1">
                  <c:v>3.3166247903553998</c:v>
                </c:pt>
                <c:pt idx="2">
                  <c:v>3.872983346207417</c:v>
                </c:pt>
                <c:pt idx="3">
                  <c:v>4.358898943540674</c:v>
                </c:pt>
                <c:pt idx="4">
                  <c:v>4.7958315233127191</c:v>
                </c:pt>
                <c:pt idx="5">
                  <c:v>5.196152422706632</c:v>
                </c:pt>
                <c:pt idx="6">
                  <c:v>5.5677643628300215</c:v>
                </c:pt>
                <c:pt idx="7">
                  <c:v>5.9160797830996161</c:v>
                </c:pt>
                <c:pt idx="8">
                  <c:v>6.2449979983983983</c:v>
                </c:pt>
                <c:pt idx="9">
                  <c:v>6.5574385243020004</c:v>
                </c:pt>
                <c:pt idx="10">
                  <c:v>6.8556546004010439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B1-4D18-9674-FA8FC0678673}"/>
            </c:ext>
          </c:extLst>
        </c:ser>
        <c:ser>
          <c:idx val="1"/>
          <c:order val="1"/>
          <c:tx>
            <c:strRef>
              <c:f>Лист6!$C$3</c:f>
              <c:strCache>
                <c:ptCount val="1"/>
                <c:pt idx="0">
                  <c:v>3cosx</c:v>
                </c:pt>
              </c:strCache>
            </c:strRef>
          </c:tx>
          <c:marker>
            <c:symbol val="none"/>
          </c:marker>
          <c:xVal>
            <c:numRef>
              <c:f>Лист6!$A$4:$A$14</c:f>
              <c:numCache>
                <c:formatCode>0.00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Лист6!$C$4:$C$14</c:f>
              <c:numCache>
                <c:formatCode>0.00</c:formatCode>
                <c:ptCount val="11"/>
                <c:pt idx="0">
                  <c:v>3</c:v>
                </c:pt>
                <c:pt idx="1">
                  <c:v>1.6209069176044193</c:v>
                </c:pt>
                <c:pt idx="2">
                  <c:v>-1.2484405096414273</c:v>
                </c:pt>
                <c:pt idx="3">
                  <c:v>-2.9699774898013365</c:v>
                </c:pt>
                <c:pt idx="4">
                  <c:v>-1.9609308625908359</c:v>
                </c:pt>
                <c:pt idx="5">
                  <c:v>0.85098655638967879</c:v>
                </c:pt>
                <c:pt idx="6">
                  <c:v>2.880510859951098</c:v>
                </c:pt>
                <c:pt idx="7">
                  <c:v>2.2617067630299137</c:v>
                </c:pt>
                <c:pt idx="8">
                  <c:v>-0.43650010142584061</c:v>
                </c:pt>
                <c:pt idx="9">
                  <c:v>-2.7333907856540307</c:v>
                </c:pt>
                <c:pt idx="10">
                  <c:v>-2.5172145872293572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5B1-4D18-9674-FA8FC0678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455104"/>
        <c:axId val="179454528"/>
      </c:scatterChart>
      <c:valAx>
        <c:axId val="179455104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179454528"/>
        <c:crosses val="autoZero"/>
        <c:crossBetween val="midCat"/>
      </c:valAx>
      <c:valAx>
        <c:axId val="179454528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945510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marker>
            <c:symbol val="none"/>
          </c:marker>
          <c:yVal>
            <c:numRef>
              <c:f>Лист7!$A$3:$A$13</c:f>
              <c:numCache>
                <c:formatCode>0.00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89-42AC-B075-D592B4229007}"/>
            </c:ext>
          </c:extLst>
        </c:ser>
        <c:ser>
          <c:idx val="1"/>
          <c:order val="1"/>
          <c:marker>
            <c:symbol val="none"/>
          </c:marker>
          <c:yVal>
            <c:numRef>
              <c:f>Лист7!$B$3:$B$13</c:f>
              <c:numCache>
                <c:formatCode>0.00</c:formatCode>
                <c:ptCount val="11"/>
                <c:pt idx="0">
                  <c:v>0</c:v>
                </c:pt>
                <c:pt idx="1">
                  <c:v>0.8414709848078965</c:v>
                </c:pt>
                <c:pt idx="2">
                  <c:v>1.8185948536513634</c:v>
                </c:pt>
                <c:pt idx="3">
                  <c:v>0.42336002417960161</c:v>
                </c:pt>
                <c:pt idx="4">
                  <c:v>-3.0272099812317128</c:v>
                </c:pt>
                <c:pt idx="5">
                  <c:v>-4.7946213733156924</c:v>
                </c:pt>
                <c:pt idx="6">
                  <c:v>-1.6764929891935552</c:v>
                </c:pt>
                <c:pt idx="7">
                  <c:v>4.5989061910315234</c:v>
                </c:pt>
                <c:pt idx="8">
                  <c:v>7.9148659729870543</c:v>
                </c:pt>
                <c:pt idx="9">
                  <c:v>3.7090663671758093</c:v>
                </c:pt>
                <c:pt idx="10">
                  <c:v>-5.4402111088936973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89-42AC-B075-D592B4229007}"/>
            </c:ext>
          </c:extLst>
        </c:ser>
        <c:ser>
          <c:idx val="2"/>
          <c:order val="2"/>
          <c:marker>
            <c:symbol val="none"/>
          </c:marker>
          <c:yVal>
            <c:numRef>
              <c:f>Лист7!$C$3:$C$13</c:f>
              <c:numCache>
                <c:formatCode>0.00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889-42AC-B075-D592B42290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470912"/>
        <c:axId val="179460288"/>
      </c:scatterChart>
      <c:valAx>
        <c:axId val="179470912"/>
        <c:scaling>
          <c:orientation val="minMax"/>
        </c:scaling>
        <c:delete val="0"/>
        <c:axPos val="b"/>
        <c:majorTickMark val="out"/>
        <c:minorTickMark val="none"/>
        <c:tickLblPos val="nextTo"/>
        <c:crossAx val="179460288"/>
        <c:crosses val="autoZero"/>
        <c:crossBetween val="midCat"/>
      </c:valAx>
      <c:valAx>
        <c:axId val="179460288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9470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Лист8!$B$3</c:f>
              <c:strCache>
                <c:ptCount val="1"/>
                <c:pt idx="0">
                  <c:v>8cosx</c:v>
                </c:pt>
              </c:strCache>
            </c:strRef>
          </c:tx>
          <c:marker>
            <c:symbol val="none"/>
          </c:marker>
          <c:xVal>
            <c:numRef>
              <c:f>Лист8!$A$4:$A$14</c:f>
              <c:numCache>
                <c:formatCode>0.00</c:formatCode>
                <c:ptCount val="1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</c:numCache>
            </c:numRef>
          </c:xVal>
          <c:yVal>
            <c:numRef>
              <c:f>Лист8!$B$4:$B$14</c:f>
              <c:numCache>
                <c:formatCode>0.00</c:formatCode>
                <c:ptCount val="11"/>
                <c:pt idx="0">
                  <c:v>-6.7125722326116195</c:v>
                </c:pt>
                <c:pt idx="1">
                  <c:v>-7.2890420950774155</c:v>
                </c:pt>
                <c:pt idx="2">
                  <c:v>-1.1640002704689083</c:v>
                </c:pt>
                <c:pt idx="3">
                  <c:v>6.0312180347464368</c:v>
                </c:pt>
                <c:pt idx="4">
                  <c:v>7.6813622932029277</c:v>
                </c:pt>
                <c:pt idx="5">
                  <c:v>2.26929748370581</c:v>
                </c:pt>
                <c:pt idx="6">
                  <c:v>-5.2291489669088955</c:v>
                </c:pt>
                <c:pt idx="7">
                  <c:v>-7.9199399728035633</c:v>
                </c:pt>
                <c:pt idx="8">
                  <c:v>-3.3291746923771393</c:v>
                </c:pt>
                <c:pt idx="9">
                  <c:v>4.3224184469451181</c:v>
                </c:pt>
                <c:pt idx="10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96-4F5F-A157-A8EAABAEB02A}"/>
            </c:ext>
          </c:extLst>
        </c:ser>
        <c:ser>
          <c:idx val="1"/>
          <c:order val="1"/>
          <c:tx>
            <c:strRef>
              <c:f>Лист8!$C$3</c:f>
              <c:strCache>
                <c:ptCount val="1"/>
                <c:pt idx="0">
                  <c:v>x+6</c:v>
                </c:pt>
              </c:strCache>
            </c:strRef>
          </c:tx>
          <c:marker>
            <c:symbol val="none"/>
          </c:marker>
          <c:xVal>
            <c:numRef>
              <c:f>Лист8!$A$4:$A$14</c:f>
              <c:numCache>
                <c:formatCode>0.00</c:formatCode>
                <c:ptCount val="1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</c:numCache>
            </c:numRef>
          </c:xVal>
          <c:yVal>
            <c:numRef>
              <c:f>Лист8!$C$4:$C$14</c:f>
              <c:numCache>
                <c:formatCode>0.00</c:formatCode>
                <c:ptCount val="11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96-4F5F-A157-A8EAABAEB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476096"/>
        <c:axId val="179475520"/>
      </c:scatterChart>
      <c:valAx>
        <c:axId val="179476096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179475520"/>
        <c:crosses val="autoZero"/>
        <c:crossBetween val="midCat"/>
      </c:valAx>
      <c:valAx>
        <c:axId val="179475520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94760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Лист9!$B$3</c:f>
              <c:strCache>
                <c:ptCount val="1"/>
                <c:pt idx="0">
                  <c:v>sinx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Лист9!$A$4:$A$16</c:f>
              <c:numCache>
                <c:formatCode>0.00</c:formatCode>
                <c:ptCount val="13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</c:numCache>
            </c:numRef>
          </c:xVal>
          <c:yVal>
            <c:numRef>
              <c:f>Лист9!$B$4:$B$16</c:f>
              <c:numCache>
                <c:formatCode>0.00</c:formatCode>
                <c:ptCount val="13"/>
                <c:pt idx="0">
                  <c:v>0.95892427466313845</c:v>
                </c:pt>
                <c:pt idx="1">
                  <c:v>0.7568024953079282</c:v>
                </c:pt>
                <c:pt idx="2">
                  <c:v>-0.14112000805986721</c:v>
                </c:pt>
                <c:pt idx="3">
                  <c:v>-0.90929742682568171</c:v>
                </c:pt>
                <c:pt idx="4">
                  <c:v>-0.8414709848078965</c:v>
                </c:pt>
                <c:pt idx="5">
                  <c:v>0</c:v>
                </c:pt>
                <c:pt idx="6">
                  <c:v>0.8414709848078965</c:v>
                </c:pt>
                <c:pt idx="7">
                  <c:v>0.90929742682568171</c:v>
                </c:pt>
                <c:pt idx="8">
                  <c:v>0.14112000805986721</c:v>
                </c:pt>
                <c:pt idx="9">
                  <c:v>-0.7568024953079282</c:v>
                </c:pt>
                <c:pt idx="10">
                  <c:v>-0.95892427466313845</c:v>
                </c:pt>
                <c:pt idx="11">
                  <c:v>-0.27941549819892586</c:v>
                </c:pt>
                <c:pt idx="12">
                  <c:v>0.65698659871878906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E9-4452-BF19-717F8BDC1DE8}"/>
            </c:ext>
          </c:extLst>
        </c:ser>
        <c:ser>
          <c:idx val="1"/>
          <c:order val="1"/>
          <c:tx>
            <c:strRef>
              <c:f>Лист9!$C$3</c:f>
              <c:strCache>
                <c:ptCount val="1"/>
                <c:pt idx="0">
                  <c:v>0,2x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Лист9!$A$4:$A$16</c:f>
              <c:numCache>
                <c:formatCode>0.00</c:formatCode>
                <c:ptCount val="13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</c:numCache>
            </c:numRef>
          </c:xVal>
          <c:yVal>
            <c:numRef>
              <c:f>Лист9!$C$4:$C$16</c:f>
              <c:numCache>
                <c:formatCode>0.00</c:formatCode>
                <c:ptCount val="13"/>
                <c:pt idx="0">
                  <c:v>-1</c:v>
                </c:pt>
                <c:pt idx="1">
                  <c:v>-0.8</c:v>
                </c:pt>
                <c:pt idx="2">
                  <c:v>-0.60000000000000009</c:v>
                </c:pt>
                <c:pt idx="3">
                  <c:v>-0.4</c:v>
                </c:pt>
                <c:pt idx="4">
                  <c:v>-0.2</c:v>
                </c:pt>
                <c:pt idx="5">
                  <c:v>0</c:v>
                </c:pt>
                <c:pt idx="6">
                  <c:v>0.2</c:v>
                </c:pt>
                <c:pt idx="7">
                  <c:v>0.4</c:v>
                </c:pt>
                <c:pt idx="8">
                  <c:v>0.60000000000000009</c:v>
                </c:pt>
                <c:pt idx="9">
                  <c:v>0.8</c:v>
                </c:pt>
                <c:pt idx="10">
                  <c:v>1</c:v>
                </c:pt>
                <c:pt idx="11">
                  <c:v>1.2000000000000002</c:v>
                </c:pt>
                <c:pt idx="12">
                  <c:v>1.4000000000000001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9E9-4452-BF19-717F8BDC1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125279"/>
        <c:axId val="375712847"/>
      </c:scatterChart>
      <c:valAx>
        <c:axId val="588125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712847"/>
        <c:crosses val="autoZero"/>
        <c:crossBetween val="midCat"/>
      </c:valAx>
      <c:valAx>
        <c:axId val="3757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881252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Лист10!$B$3</c:f>
              <c:strCache>
                <c:ptCount val="1"/>
                <c:pt idx="0">
                  <c:v>10cosx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Лист10!$A$4:$A$23</c:f>
              <c:numCache>
                <c:formatCode>0.00</c:formatCode>
                <c:ptCount val="20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</c:numCache>
            </c:numRef>
          </c:xVal>
          <c:yVal>
            <c:numRef>
              <c:f>Лист10!$B$4:$B$23</c:f>
              <c:numCache>
                <c:formatCode>0.00</c:formatCode>
                <c:ptCount val="20"/>
                <c:pt idx="0">
                  <c:v>-8.3907152907645237</c:v>
                </c:pt>
                <c:pt idx="1">
                  <c:v>-9.1113026188467696</c:v>
                </c:pt>
                <c:pt idx="2">
                  <c:v>-1.4550003380861354</c:v>
                </c:pt>
                <c:pt idx="3">
                  <c:v>7.5390225434330462</c:v>
                </c:pt>
                <c:pt idx="4">
                  <c:v>9.6017028665036595</c:v>
                </c:pt>
                <c:pt idx="5">
                  <c:v>2.8366218546322624</c:v>
                </c:pt>
                <c:pt idx="6">
                  <c:v>-6.5364362086361192</c:v>
                </c:pt>
                <c:pt idx="7">
                  <c:v>-9.8999249660044537</c:v>
                </c:pt>
                <c:pt idx="8">
                  <c:v>-4.161468365471424</c:v>
                </c:pt>
                <c:pt idx="9">
                  <c:v>5.4030230586813977</c:v>
                </c:pt>
                <c:pt idx="10">
                  <c:v>10</c:v>
                </c:pt>
                <c:pt idx="11">
                  <c:v>5.4030230586813977</c:v>
                </c:pt>
                <c:pt idx="12">
                  <c:v>-4.161468365471424</c:v>
                </c:pt>
                <c:pt idx="13">
                  <c:v>-9.8999249660044537</c:v>
                </c:pt>
                <c:pt idx="14">
                  <c:v>-6.5364362086361192</c:v>
                </c:pt>
                <c:pt idx="15">
                  <c:v>2.8366218546322624</c:v>
                </c:pt>
                <c:pt idx="16">
                  <c:v>9.6017028665036595</c:v>
                </c:pt>
                <c:pt idx="17">
                  <c:v>7.5390225434330462</c:v>
                </c:pt>
                <c:pt idx="18">
                  <c:v>-1.4550003380861354</c:v>
                </c:pt>
                <c:pt idx="19">
                  <c:v>-9.1113026188467696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21-4528-91C0-DB5C25E6A0CB}"/>
            </c:ext>
          </c:extLst>
        </c:ser>
        <c:ser>
          <c:idx val="1"/>
          <c:order val="1"/>
          <c:tx>
            <c:strRef>
              <c:f>Лист10!$C$3</c:f>
              <c:strCache>
                <c:ptCount val="1"/>
                <c:pt idx="0">
                  <c:v>0,1x^2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Лист10!$A$4:$A$23</c:f>
              <c:numCache>
                <c:formatCode>0.00</c:formatCode>
                <c:ptCount val="20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</c:numCache>
            </c:numRef>
          </c:xVal>
          <c:yVal>
            <c:numRef>
              <c:f>Лист10!$C$4:$C$23</c:f>
              <c:numCache>
                <c:formatCode>0.00</c:formatCode>
                <c:ptCount val="20"/>
                <c:pt idx="0">
                  <c:v>10</c:v>
                </c:pt>
                <c:pt idx="1">
                  <c:v>8.1</c:v>
                </c:pt>
                <c:pt idx="2">
                  <c:v>6.4</c:v>
                </c:pt>
                <c:pt idx="3">
                  <c:v>4.9000000000000004</c:v>
                </c:pt>
                <c:pt idx="4">
                  <c:v>3.6</c:v>
                </c:pt>
                <c:pt idx="5">
                  <c:v>2.5</c:v>
                </c:pt>
                <c:pt idx="6">
                  <c:v>1.6</c:v>
                </c:pt>
                <c:pt idx="7">
                  <c:v>0.9</c:v>
                </c:pt>
                <c:pt idx="8">
                  <c:v>0.4</c:v>
                </c:pt>
                <c:pt idx="9">
                  <c:v>0.1</c:v>
                </c:pt>
                <c:pt idx="10">
                  <c:v>0</c:v>
                </c:pt>
                <c:pt idx="11">
                  <c:v>0.1</c:v>
                </c:pt>
                <c:pt idx="12">
                  <c:v>0.4</c:v>
                </c:pt>
                <c:pt idx="13">
                  <c:v>0.9</c:v>
                </c:pt>
                <c:pt idx="14">
                  <c:v>1.6</c:v>
                </c:pt>
                <c:pt idx="15">
                  <c:v>2.5</c:v>
                </c:pt>
                <c:pt idx="16">
                  <c:v>3.6</c:v>
                </c:pt>
                <c:pt idx="17">
                  <c:v>4.9000000000000004</c:v>
                </c:pt>
                <c:pt idx="18">
                  <c:v>6.4</c:v>
                </c:pt>
                <c:pt idx="19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21-4528-91C0-DB5C25E6A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141983"/>
        <c:axId val="375697967"/>
      </c:scatterChart>
      <c:valAx>
        <c:axId val="58814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697967"/>
        <c:crosses val="autoZero"/>
        <c:crossBetween val="midCat"/>
      </c:valAx>
      <c:valAx>
        <c:axId val="375697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88141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Лист11!$B$3</c:f>
              <c:strCache>
                <c:ptCount val="1"/>
                <c:pt idx="0">
                  <c:v>2lg(x+7)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Лист11!$A$4:$A$16</c:f>
              <c:numCache>
                <c:formatCode>0.00</c:formatCode>
                <c:ptCount val="13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-1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6</c:v>
                </c:pt>
              </c:numCache>
            </c:numRef>
          </c:xVal>
          <c:yVal>
            <c:numRef>
              <c:f>Лист11!$B$4:$B$16</c:f>
              <c:numCache>
                <c:formatCode>0.00</c:formatCode>
                <c:ptCount val="13"/>
                <c:pt idx="0">
                  <c:v>0</c:v>
                </c:pt>
                <c:pt idx="1">
                  <c:v>0.6020599913279624</c:v>
                </c:pt>
                <c:pt idx="2">
                  <c:v>0.95424250943932487</c:v>
                </c:pt>
                <c:pt idx="3">
                  <c:v>1.2041199826559248</c:v>
                </c:pt>
                <c:pt idx="4">
                  <c:v>1.3979400086720377</c:v>
                </c:pt>
                <c:pt idx="5">
                  <c:v>1.5563025007672873</c:v>
                </c:pt>
                <c:pt idx="6">
                  <c:v>1.6901960800285136</c:v>
                </c:pt>
                <c:pt idx="7">
                  <c:v>1.8061799739838871</c:v>
                </c:pt>
                <c:pt idx="8">
                  <c:v>1.9084850188786497</c:v>
                </c:pt>
                <c:pt idx="9">
                  <c:v>2</c:v>
                </c:pt>
                <c:pt idx="10">
                  <c:v>2.0827853703164503</c:v>
                </c:pt>
                <c:pt idx="11">
                  <c:v>2.1583624920952498</c:v>
                </c:pt>
                <c:pt idx="12">
                  <c:v>2.2278867046136734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4A-4C87-B434-BC3928637508}"/>
            </c:ext>
          </c:extLst>
        </c:ser>
        <c:ser>
          <c:idx val="1"/>
          <c:order val="1"/>
          <c:tx>
            <c:strRef>
              <c:f>Лист11!$C$3</c:f>
              <c:strCache>
                <c:ptCount val="1"/>
                <c:pt idx="0">
                  <c:v>5sinx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Лист11!$A$4:$A$16</c:f>
              <c:numCache>
                <c:formatCode>0.00</c:formatCode>
                <c:ptCount val="13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-1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6</c:v>
                </c:pt>
              </c:numCache>
            </c:numRef>
          </c:xVal>
          <c:yVal>
            <c:numRef>
              <c:f>Лист11!$C$4:$C$16</c:f>
              <c:numCache>
                <c:formatCode>0.00</c:formatCode>
                <c:ptCount val="13"/>
                <c:pt idx="0">
                  <c:v>1.3970774909946293</c:v>
                </c:pt>
                <c:pt idx="1">
                  <c:v>4.7946213733156924</c:v>
                </c:pt>
                <c:pt idx="2">
                  <c:v>3.7840124765396412</c:v>
                </c:pt>
                <c:pt idx="3">
                  <c:v>-0.7056000402993361</c:v>
                </c:pt>
                <c:pt idx="4">
                  <c:v>-4.5464871341284088</c:v>
                </c:pt>
                <c:pt idx="5">
                  <c:v>-4.2073549240394827</c:v>
                </c:pt>
                <c:pt idx="6">
                  <c:v>0</c:v>
                </c:pt>
                <c:pt idx="7">
                  <c:v>4.2073549240394827</c:v>
                </c:pt>
                <c:pt idx="8">
                  <c:v>4.5464871341284088</c:v>
                </c:pt>
                <c:pt idx="9">
                  <c:v>0.7056000402993361</c:v>
                </c:pt>
                <c:pt idx="10">
                  <c:v>-3.7840124765396412</c:v>
                </c:pt>
                <c:pt idx="11">
                  <c:v>-4.7946213733156924</c:v>
                </c:pt>
                <c:pt idx="12">
                  <c:v>-1.3970774909946293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34A-4C87-B434-BC3928637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200863"/>
        <c:axId val="375652367"/>
      </c:scatterChart>
      <c:valAx>
        <c:axId val="531200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652367"/>
        <c:crosses val="autoZero"/>
        <c:crossBetween val="midCat"/>
      </c:valAx>
      <c:valAx>
        <c:axId val="37565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120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Лист12!$B$3</c:f>
              <c:strCache>
                <c:ptCount val="1"/>
                <c:pt idx="0">
                  <c:v>4cosx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Лист12!$A$4:$A$14</c:f>
              <c:numCache>
                <c:formatCode>0.00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xVal>
          <c:yVal>
            <c:numRef>
              <c:f>Лист12!$B$4:$B$14</c:f>
              <c:numCache>
                <c:formatCode>0.00</c:formatCode>
                <c:ptCount val="11"/>
                <c:pt idx="0">
                  <c:v>1.134648741852905</c:v>
                </c:pt>
                <c:pt idx="1">
                  <c:v>-2.6145744834544478</c:v>
                </c:pt>
                <c:pt idx="2">
                  <c:v>-3.9599699864017817</c:v>
                </c:pt>
                <c:pt idx="3">
                  <c:v>-1.6645873461885696</c:v>
                </c:pt>
                <c:pt idx="4">
                  <c:v>2.1612092234725591</c:v>
                </c:pt>
                <c:pt idx="5">
                  <c:v>4</c:v>
                </c:pt>
                <c:pt idx="6">
                  <c:v>2.1612092234725591</c:v>
                </c:pt>
                <c:pt idx="7">
                  <c:v>-1.6645873461885696</c:v>
                </c:pt>
                <c:pt idx="8">
                  <c:v>-3.9599699864017817</c:v>
                </c:pt>
                <c:pt idx="9">
                  <c:v>-2.6145744834544478</c:v>
                </c:pt>
                <c:pt idx="10">
                  <c:v>1.134648741852905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39-4008-B0F0-13B632D5AB13}"/>
            </c:ext>
          </c:extLst>
        </c:ser>
        <c:ser>
          <c:idx val="1"/>
          <c:order val="1"/>
          <c:tx>
            <c:strRef>
              <c:f>Лист12!$C$3</c:f>
              <c:strCache>
                <c:ptCount val="1"/>
                <c:pt idx="0">
                  <c:v>-0,3x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Лист12!$A$4:$A$14</c:f>
              <c:numCache>
                <c:formatCode>0.00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xVal>
          <c:yVal>
            <c:numRef>
              <c:f>Лист12!$C$4:$C$14</c:f>
              <c:numCache>
                <c:formatCode>0.00</c:formatCode>
                <c:ptCount val="11"/>
                <c:pt idx="0">
                  <c:v>1.5</c:v>
                </c:pt>
                <c:pt idx="1">
                  <c:v>1.2</c:v>
                </c:pt>
                <c:pt idx="2">
                  <c:v>0.89999999999999991</c:v>
                </c:pt>
                <c:pt idx="3">
                  <c:v>0.6</c:v>
                </c:pt>
                <c:pt idx="4">
                  <c:v>0.3</c:v>
                </c:pt>
                <c:pt idx="5">
                  <c:v>0</c:v>
                </c:pt>
                <c:pt idx="6">
                  <c:v>-0.3</c:v>
                </c:pt>
                <c:pt idx="7">
                  <c:v>-0.6</c:v>
                </c:pt>
                <c:pt idx="8">
                  <c:v>-0.89999999999999991</c:v>
                </c:pt>
                <c:pt idx="9">
                  <c:v>-1.2</c:v>
                </c:pt>
                <c:pt idx="10">
                  <c:v>-1.5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39-4008-B0F0-13B632D5A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038575"/>
        <c:axId val="375692207"/>
      </c:scatterChart>
      <c:valAx>
        <c:axId val="58803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692207"/>
        <c:crosses val="autoZero"/>
        <c:crossBetween val="midCat"/>
      </c:valAx>
      <c:valAx>
        <c:axId val="375692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88038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Лист13!$B$3</c:f>
              <c:strCache>
                <c:ptCount val="1"/>
                <c:pt idx="0">
                  <c:v>√1-x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Лист13!$A$4:$A$14</c:f>
              <c:numCache>
                <c:formatCode>0.00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xVal>
          <c:yVal>
            <c:numRef>
              <c:f>Лист13!$B$4:$B$14</c:f>
              <c:numCache>
                <c:formatCode>0.00</c:formatCode>
                <c:ptCount val="11"/>
                <c:pt idx="0">
                  <c:v>2.4494897427831779</c:v>
                </c:pt>
                <c:pt idx="1">
                  <c:v>2.2360679774997898</c:v>
                </c:pt>
                <c:pt idx="2">
                  <c:v>2</c:v>
                </c:pt>
                <c:pt idx="3">
                  <c:v>1.7320508075688772</c:v>
                </c:pt>
                <c:pt idx="4">
                  <c:v>1.4142135623730951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8-4E54-80D1-96EA9EB0188C}"/>
            </c:ext>
          </c:extLst>
        </c:ser>
        <c:ser>
          <c:idx val="1"/>
          <c:order val="1"/>
          <c:tx>
            <c:strRef>
              <c:f>Лист13!$C$3</c:f>
              <c:strCache>
                <c:ptCount val="1"/>
                <c:pt idx="0">
                  <c:v>5sin(2x)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Лист13!$A$4:$A$14</c:f>
              <c:numCache>
                <c:formatCode>0.00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xVal>
          <c:yVal>
            <c:numRef>
              <c:f>Лист13!$C$4:$C$14</c:f>
              <c:numCache>
                <c:formatCode>0.00</c:formatCode>
                <c:ptCount val="11"/>
                <c:pt idx="0">
                  <c:v>2.7201055544468487</c:v>
                </c:pt>
                <c:pt idx="1">
                  <c:v>-4.946791233116909</c:v>
                </c:pt>
                <c:pt idx="2">
                  <c:v>1.3970774909946293</c:v>
                </c:pt>
                <c:pt idx="3">
                  <c:v>3.7840124765396412</c:v>
                </c:pt>
                <c:pt idx="4">
                  <c:v>-4.5464871341284088</c:v>
                </c:pt>
                <c:pt idx="5">
                  <c:v>0</c:v>
                </c:pt>
                <c:pt idx="6">
                  <c:v>4.5464871341284088</c:v>
                </c:pt>
                <c:pt idx="7">
                  <c:v>-3.7840124765396412</c:v>
                </c:pt>
                <c:pt idx="8">
                  <c:v>-1.3970774909946293</c:v>
                </c:pt>
                <c:pt idx="9">
                  <c:v>4.946791233116909</c:v>
                </c:pt>
                <c:pt idx="10">
                  <c:v>-2.7201055544468487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8-4E54-80D1-96EA9EB018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176735"/>
        <c:axId val="375520847"/>
      </c:scatterChart>
      <c:valAx>
        <c:axId val="531176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520847"/>
        <c:crosses val="autoZero"/>
        <c:crossBetween val="midCat"/>
      </c:valAx>
      <c:valAx>
        <c:axId val="3755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1176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Лист14!$B$3</c:f>
              <c:strCache>
                <c:ptCount val="1"/>
                <c:pt idx="0">
                  <c:v>2x^2-5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Лист14!$A$4:$A$17</c:f>
              <c:numCache>
                <c:formatCode>General</c:formatCode>
                <c:ptCount val="14"/>
                <c:pt idx="0">
                  <c:v>-3</c:v>
                </c:pt>
                <c:pt idx="1">
                  <c:v>-2</c:v>
                </c:pt>
                <c:pt idx="2">
                  <c:v>-1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</c:numCache>
            </c:numRef>
          </c:xVal>
          <c:yVal>
            <c:numRef>
              <c:f>Лист14!$B$4:$B$17</c:f>
              <c:numCache>
                <c:formatCode>General</c:formatCode>
                <c:ptCount val="14"/>
                <c:pt idx="0">
                  <c:v>13</c:v>
                </c:pt>
                <c:pt idx="1">
                  <c:v>3</c:v>
                </c:pt>
                <c:pt idx="2">
                  <c:v>-3</c:v>
                </c:pt>
                <c:pt idx="3">
                  <c:v>-5</c:v>
                </c:pt>
                <c:pt idx="4">
                  <c:v>-3</c:v>
                </c:pt>
                <c:pt idx="5">
                  <c:v>3</c:v>
                </c:pt>
                <c:pt idx="6">
                  <c:v>13</c:v>
                </c:pt>
                <c:pt idx="7">
                  <c:v>27</c:v>
                </c:pt>
                <c:pt idx="8">
                  <c:v>45</c:v>
                </c:pt>
                <c:pt idx="9">
                  <c:v>67</c:v>
                </c:pt>
                <c:pt idx="10">
                  <c:v>93</c:v>
                </c:pt>
                <c:pt idx="11">
                  <c:v>123</c:v>
                </c:pt>
                <c:pt idx="12">
                  <c:v>157</c:v>
                </c:pt>
                <c:pt idx="13">
                  <c:v>195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D3-411A-A507-1FFD4AFFBEEB}"/>
            </c:ext>
          </c:extLst>
        </c:ser>
        <c:ser>
          <c:idx val="1"/>
          <c:order val="1"/>
          <c:tx>
            <c:strRef>
              <c:f>Лист14!$C$3</c:f>
              <c:strCache>
                <c:ptCount val="1"/>
                <c:pt idx="0">
                  <c:v>2^x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Лист14!$A$4:$A$17</c:f>
              <c:numCache>
                <c:formatCode>General</c:formatCode>
                <c:ptCount val="14"/>
                <c:pt idx="0">
                  <c:v>-3</c:v>
                </c:pt>
                <c:pt idx="1">
                  <c:v>-2</c:v>
                </c:pt>
                <c:pt idx="2">
                  <c:v>-1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</c:numCache>
            </c:numRef>
          </c:xVal>
          <c:yVal>
            <c:numRef>
              <c:f>Лист14!$C$4:$C$17</c:f>
              <c:numCache>
                <c:formatCode>General</c:formatCode>
                <c:ptCount val="14"/>
                <c:pt idx="0">
                  <c:v>0.125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8</c:v>
                </c:pt>
                <c:pt idx="7">
                  <c:v>16</c:v>
                </c:pt>
                <c:pt idx="8">
                  <c:v>32</c:v>
                </c:pt>
                <c:pt idx="9">
                  <c:v>64</c:v>
                </c:pt>
                <c:pt idx="10">
                  <c:v>128</c:v>
                </c:pt>
                <c:pt idx="11">
                  <c:v>256</c:v>
                </c:pt>
                <c:pt idx="12">
                  <c:v>512</c:v>
                </c:pt>
                <c:pt idx="13">
                  <c:v>1024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D3-411A-A507-1FFD4AFFB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5302895"/>
        <c:axId val="375703247"/>
      </c:scatterChart>
      <c:valAx>
        <c:axId val="595302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703247"/>
        <c:crosses val="autoZero"/>
        <c:crossBetween val="midCat"/>
      </c:valAx>
      <c:valAx>
        <c:axId val="37570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530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Лист15!$B$3</c:f>
              <c:strCache>
                <c:ptCount val="1"/>
                <c:pt idx="0">
                  <c:v>10-0,5x^2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Лист15!$A$4:$A$18</c:f>
              <c:numCache>
                <c:formatCode>General</c:formatCode>
                <c:ptCount val="15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</c:numCache>
            </c:numRef>
          </c:xVal>
          <c:yVal>
            <c:numRef>
              <c:f>Лист15!$B$4:$B$18</c:f>
              <c:numCache>
                <c:formatCode>General</c:formatCode>
                <c:ptCount val="15"/>
                <c:pt idx="0">
                  <c:v>2</c:v>
                </c:pt>
                <c:pt idx="1">
                  <c:v>5.5</c:v>
                </c:pt>
                <c:pt idx="2">
                  <c:v>8</c:v>
                </c:pt>
                <c:pt idx="3">
                  <c:v>9.5</c:v>
                </c:pt>
                <c:pt idx="4">
                  <c:v>10</c:v>
                </c:pt>
                <c:pt idx="5">
                  <c:v>9.5</c:v>
                </c:pt>
                <c:pt idx="6">
                  <c:v>8</c:v>
                </c:pt>
                <c:pt idx="7">
                  <c:v>5.5</c:v>
                </c:pt>
                <c:pt idx="8">
                  <c:v>2</c:v>
                </c:pt>
                <c:pt idx="9">
                  <c:v>-2.5</c:v>
                </c:pt>
                <c:pt idx="10">
                  <c:v>-8</c:v>
                </c:pt>
                <c:pt idx="11">
                  <c:v>-14.5</c:v>
                </c:pt>
                <c:pt idx="12">
                  <c:v>-22</c:v>
                </c:pt>
                <c:pt idx="13">
                  <c:v>-30.5</c:v>
                </c:pt>
                <c:pt idx="14">
                  <c:v>-40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1E-4EF8-84BA-5FC306655C32}"/>
            </c:ext>
          </c:extLst>
        </c:ser>
        <c:ser>
          <c:idx val="1"/>
          <c:order val="1"/>
          <c:tx>
            <c:strRef>
              <c:f>Лист15!$C$3</c:f>
              <c:strCache>
                <c:ptCount val="1"/>
                <c:pt idx="0">
                  <c:v>2^-x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Лист15!$A$4:$A$18</c:f>
              <c:numCache>
                <c:formatCode>General</c:formatCode>
                <c:ptCount val="15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</c:numCache>
            </c:numRef>
          </c:xVal>
          <c:yVal>
            <c:numRef>
              <c:f>Лист15!$C$4:$C$18</c:f>
              <c:numCache>
                <c:formatCode>General</c:formatCode>
                <c:ptCount val="15"/>
                <c:pt idx="0">
                  <c:v>16</c:v>
                </c:pt>
                <c:pt idx="1">
                  <c:v>8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0.5</c:v>
                </c:pt>
                <c:pt idx="6">
                  <c:v>0.25</c:v>
                </c:pt>
                <c:pt idx="7">
                  <c:v>0.125</c:v>
                </c:pt>
                <c:pt idx="8">
                  <c:v>6.25E-2</c:v>
                </c:pt>
                <c:pt idx="9">
                  <c:v>3.125E-2</c:v>
                </c:pt>
                <c:pt idx="10">
                  <c:v>1.5625E-2</c:v>
                </c:pt>
                <c:pt idx="11">
                  <c:v>7.8125E-3</c:v>
                </c:pt>
                <c:pt idx="12">
                  <c:v>3.90625E-3</c:v>
                </c:pt>
                <c:pt idx="13">
                  <c:v>1.953125E-3</c:v>
                </c:pt>
                <c:pt idx="14">
                  <c:v>9.765625E-4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1E-4EF8-84BA-5FC306655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5341871"/>
        <c:axId val="375526127"/>
      </c:scatterChart>
      <c:valAx>
        <c:axId val="59534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526127"/>
        <c:crosses val="autoZero"/>
        <c:crossBetween val="midCat"/>
      </c:valAx>
      <c:valAx>
        <c:axId val="37552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53418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1</xdr:row>
      <xdr:rowOff>180976</xdr:rowOff>
    </xdr:from>
    <xdr:to>
      <xdr:col>9</xdr:col>
      <xdr:colOff>371475</xdr:colOff>
      <xdr:row>12</xdr:row>
      <xdr:rowOff>47626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238125</xdr:colOff>
      <xdr:row>4</xdr:row>
      <xdr:rowOff>152400</xdr:rowOff>
    </xdr:from>
    <xdr:to>
      <xdr:col>10</xdr:col>
      <xdr:colOff>552450</xdr:colOff>
      <xdr:row>22</xdr:row>
      <xdr:rowOff>171450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2</xdr:row>
      <xdr:rowOff>9525</xdr:rowOff>
    </xdr:from>
    <xdr:to>
      <xdr:col>11</xdr:col>
      <xdr:colOff>314325</xdr:colOff>
      <xdr:row>16</xdr:row>
      <xdr:rowOff>85725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171450</xdr:rowOff>
    </xdr:from>
    <xdr:to>
      <xdr:col>11</xdr:col>
      <xdr:colOff>304800</xdr:colOff>
      <xdr:row>16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2</xdr:row>
      <xdr:rowOff>9525</xdr:rowOff>
    </xdr:from>
    <xdr:to>
      <xdr:col>11</xdr:col>
      <xdr:colOff>314325</xdr:colOff>
      <xdr:row>16</xdr:row>
      <xdr:rowOff>85725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1</xdr:row>
      <xdr:rowOff>180975</xdr:rowOff>
    </xdr:from>
    <xdr:to>
      <xdr:col>11</xdr:col>
      <xdr:colOff>323850</xdr:colOff>
      <xdr:row>16</xdr:row>
      <xdr:rowOff>66675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180975</xdr:rowOff>
    </xdr:from>
    <xdr:to>
      <xdr:col>12</xdr:col>
      <xdr:colOff>66675</xdr:colOff>
      <xdr:row>18</xdr:row>
      <xdr:rowOff>66675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400050</xdr:colOff>
      <xdr:row>2</xdr:row>
      <xdr:rowOff>28575</xdr:rowOff>
    </xdr:from>
    <xdr:to>
      <xdr:col>12</xdr:col>
      <xdr:colOff>95250</xdr:colOff>
      <xdr:row>16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2</xdr:row>
      <xdr:rowOff>3810</xdr:rowOff>
    </xdr:from>
    <xdr:to>
      <xdr:col>11</xdr:col>
      <xdr:colOff>312420</xdr:colOff>
      <xdr:row>17</xdr:row>
      <xdr:rowOff>3810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5A8E924-3975-188F-7111-4C8FF2025E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163830</xdr:rowOff>
    </xdr:from>
    <xdr:to>
      <xdr:col>11</xdr:col>
      <xdr:colOff>304800</xdr:colOff>
      <xdr:row>16</xdr:row>
      <xdr:rowOff>163830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A8D5266-4CFB-8FC8-D2DF-52D0E2BA7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426720</xdr:colOff>
      <xdr:row>1</xdr:row>
      <xdr:rowOff>156210</xdr:rowOff>
    </xdr:from>
    <xdr:to>
      <xdr:col>12</xdr:col>
      <xdr:colOff>121920</xdr:colOff>
      <xdr:row>16</xdr:row>
      <xdr:rowOff>156210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A733543-BEBF-5A50-E276-C0D87011D4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274320</xdr:colOff>
      <xdr:row>1</xdr:row>
      <xdr:rowOff>179070</xdr:rowOff>
    </xdr:from>
    <xdr:to>
      <xdr:col>11</xdr:col>
      <xdr:colOff>579120</xdr:colOff>
      <xdr:row>16</xdr:row>
      <xdr:rowOff>179070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DBE23F3-3159-08D8-3282-D1EF9CB8D4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1</xdr:row>
      <xdr:rowOff>179070</xdr:rowOff>
    </xdr:from>
    <xdr:to>
      <xdr:col>11</xdr:col>
      <xdr:colOff>533400</xdr:colOff>
      <xdr:row>16</xdr:row>
      <xdr:rowOff>179070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6FD52DD-4307-E6A4-EF04-DC5F18CC30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190500</xdr:colOff>
      <xdr:row>2</xdr:row>
      <xdr:rowOff>26670</xdr:rowOff>
    </xdr:from>
    <xdr:to>
      <xdr:col>11</xdr:col>
      <xdr:colOff>495300</xdr:colOff>
      <xdr:row>17</xdr:row>
      <xdr:rowOff>26670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389A46-7E2D-5869-3C9D-1A54A6B689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342900</xdr:colOff>
      <xdr:row>2</xdr:row>
      <xdr:rowOff>102870</xdr:rowOff>
    </xdr:from>
    <xdr:to>
      <xdr:col>12</xdr:col>
      <xdr:colOff>38100</xdr:colOff>
      <xdr:row>17</xdr:row>
      <xdr:rowOff>102870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6785C7E-6399-DD61-CFE8-D175DE2B20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N40"/>
  <sheetViews>
    <sheetView workbookViewId="0">
      <selection activeCell="C4" sqref="C4"/>
    </sheetView>
  </sheetViews>
  <sheetFormatPr defaultRowHeight="14.4" x14ac:dyDescent="0.3"/>
  <cols>
    <col min="1" max="1" width="11.6640625" customWidth="1"/>
    <col min="2" max="2" width="9.44140625" bestFit="1" customWidth="1"/>
    <col min="3" max="3" width="8.33203125" customWidth="1"/>
  </cols>
  <sheetData>
    <row r="1" spans="1:5" ht="16.2" x14ac:dyDescent="0.3">
      <c r="A1" t="s">
        <v>0</v>
      </c>
    </row>
    <row r="3" spans="1:5" x14ac:dyDescent="0.3">
      <c r="A3" s="1" t="s">
        <v>1</v>
      </c>
      <c r="B3" s="1" t="s">
        <v>2</v>
      </c>
      <c r="C3" s="1" t="s">
        <v>3</v>
      </c>
    </row>
    <row r="4" spans="1:5" x14ac:dyDescent="0.3">
      <c r="A4" s="1">
        <v>0</v>
      </c>
      <c r="B4" s="1">
        <f>(0.2*A4)^3</f>
        <v>0</v>
      </c>
      <c r="C4" s="1">
        <f>COS(A4)</f>
        <v>1</v>
      </c>
    </row>
    <row r="5" spans="1:5" x14ac:dyDescent="0.3">
      <c r="A5" s="1">
        <v>1</v>
      </c>
      <c r="B5" s="1">
        <f t="shared" ref="B5:B14" si="0">(0.2*A5)^3</f>
        <v>8.0000000000000019E-3</v>
      </c>
      <c r="C5" s="1">
        <f t="shared" ref="C5:C14" si="1">COS(A5)</f>
        <v>0.54030230586813977</v>
      </c>
    </row>
    <row r="6" spans="1:5" x14ac:dyDescent="0.3">
      <c r="A6" s="1">
        <v>2</v>
      </c>
      <c r="B6" s="1">
        <f t="shared" si="0"/>
        <v>6.4000000000000015E-2</v>
      </c>
      <c r="C6" s="1">
        <f t="shared" si="1"/>
        <v>-0.41614683654714241</v>
      </c>
    </row>
    <row r="7" spans="1:5" x14ac:dyDescent="0.3">
      <c r="A7" s="1">
        <v>3</v>
      </c>
      <c r="B7" s="1">
        <f t="shared" si="0"/>
        <v>0.21600000000000008</v>
      </c>
      <c r="C7" s="1">
        <f t="shared" si="1"/>
        <v>-0.98999249660044542</v>
      </c>
    </row>
    <row r="8" spans="1:5" x14ac:dyDescent="0.3">
      <c r="A8" s="1">
        <v>4</v>
      </c>
      <c r="B8" s="1">
        <f t="shared" si="0"/>
        <v>0.51200000000000012</v>
      </c>
      <c r="C8" s="1">
        <f t="shared" si="1"/>
        <v>-0.65364362086361194</v>
      </c>
    </row>
    <row r="9" spans="1:5" x14ac:dyDescent="0.3">
      <c r="A9" s="1">
        <v>5</v>
      </c>
      <c r="B9" s="1">
        <f t="shared" si="0"/>
        <v>1</v>
      </c>
      <c r="C9" s="1">
        <f t="shared" si="1"/>
        <v>0.28366218546322625</v>
      </c>
    </row>
    <row r="10" spans="1:5" x14ac:dyDescent="0.3">
      <c r="A10" s="1">
        <v>6</v>
      </c>
      <c r="B10" s="1">
        <f t="shared" si="0"/>
        <v>1.7280000000000006</v>
      </c>
      <c r="C10" s="1">
        <f t="shared" si="1"/>
        <v>0.96017028665036597</v>
      </c>
    </row>
    <row r="11" spans="1:5" x14ac:dyDescent="0.3">
      <c r="A11" s="1">
        <v>7</v>
      </c>
      <c r="B11" s="1">
        <f t="shared" si="0"/>
        <v>2.7440000000000007</v>
      </c>
      <c r="C11" s="1">
        <f t="shared" si="1"/>
        <v>0.7539022543433046</v>
      </c>
    </row>
    <row r="12" spans="1:5" x14ac:dyDescent="0.3">
      <c r="A12" s="1">
        <v>8</v>
      </c>
      <c r="B12" s="1">
        <f t="shared" si="0"/>
        <v>4.096000000000001</v>
      </c>
      <c r="C12" s="1">
        <f t="shared" si="1"/>
        <v>-0.14550003380861354</v>
      </c>
    </row>
    <row r="13" spans="1:5" x14ac:dyDescent="0.3">
      <c r="A13" s="1">
        <v>9</v>
      </c>
      <c r="B13" s="1">
        <f t="shared" si="0"/>
        <v>5.8320000000000007</v>
      </c>
      <c r="C13" s="1">
        <f t="shared" si="1"/>
        <v>-0.91113026188467694</v>
      </c>
    </row>
    <row r="14" spans="1:5" x14ac:dyDescent="0.3">
      <c r="A14" s="1">
        <v>10</v>
      </c>
      <c r="B14" s="1">
        <f t="shared" si="0"/>
        <v>8</v>
      </c>
      <c r="C14" s="1">
        <f t="shared" si="1"/>
        <v>-0.83907152907645244</v>
      </c>
      <c r="E14" t="s">
        <v>4</v>
      </c>
    </row>
    <row r="22" spans="4:14" ht="13.5" customHeight="1" x14ac:dyDescent="0.3"/>
    <row r="32" spans="4:14" x14ac:dyDescent="0.3"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4:14" x14ac:dyDescent="0.3"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4:14" x14ac:dyDescent="0.3"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4:14" x14ac:dyDescent="0.3"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4:14" x14ac:dyDescent="0.3"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4:14" x14ac:dyDescent="0.3"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4:14" x14ac:dyDescent="0.3"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4:14" x14ac:dyDescent="0.3"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4:14" x14ac:dyDescent="0.3"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C26"/>
  <sheetViews>
    <sheetView workbookViewId="0">
      <selection activeCell="B1" sqref="B1"/>
    </sheetView>
  </sheetViews>
  <sheetFormatPr defaultRowHeight="14.4" x14ac:dyDescent="0.3"/>
  <sheetData>
    <row r="1" spans="1:3" x14ac:dyDescent="0.3">
      <c r="A1" t="s">
        <v>5</v>
      </c>
    </row>
    <row r="3" spans="1:3" x14ac:dyDescent="0.3">
      <c r="A3" s="1" t="s">
        <v>1</v>
      </c>
      <c r="B3" s="1" t="s">
        <v>1</v>
      </c>
      <c r="C3" s="1" t="s">
        <v>6</v>
      </c>
    </row>
    <row r="4" spans="1:3" x14ac:dyDescent="0.3">
      <c r="A4" s="1">
        <v>0</v>
      </c>
      <c r="B4" s="1">
        <f>A4</f>
        <v>0</v>
      </c>
      <c r="C4" s="1">
        <f t="shared" ref="C4:C26" si="0">10*SIN(A4)</f>
        <v>0</v>
      </c>
    </row>
    <row r="5" spans="1:3" x14ac:dyDescent="0.3">
      <c r="A5" s="1">
        <v>1</v>
      </c>
      <c r="B5" s="1">
        <f>A5</f>
        <v>1</v>
      </c>
      <c r="C5" s="1">
        <f t="shared" si="0"/>
        <v>8.4147098480789655</v>
      </c>
    </row>
    <row r="6" spans="1:3" x14ac:dyDescent="0.3">
      <c r="A6" s="1">
        <v>2</v>
      </c>
      <c r="B6" s="1">
        <f>A6</f>
        <v>2</v>
      </c>
      <c r="C6" s="1">
        <f t="shared" si="0"/>
        <v>9.0929742682568175</v>
      </c>
    </row>
    <row r="7" spans="1:3" x14ac:dyDescent="0.3">
      <c r="A7" s="1">
        <v>3</v>
      </c>
      <c r="B7" s="1">
        <f t="shared" ref="B7:B26" si="1">A7</f>
        <v>3</v>
      </c>
      <c r="C7" s="1">
        <f t="shared" si="0"/>
        <v>1.4112000805986722</v>
      </c>
    </row>
    <row r="8" spans="1:3" x14ac:dyDescent="0.3">
      <c r="A8" s="1">
        <v>4</v>
      </c>
      <c r="B8" s="1">
        <f t="shared" si="1"/>
        <v>4</v>
      </c>
      <c r="C8" s="1">
        <f t="shared" si="0"/>
        <v>-7.5680249530792825</v>
      </c>
    </row>
    <row r="9" spans="1:3" x14ac:dyDescent="0.3">
      <c r="A9" s="1">
        <v>5</v>
      </c>
      <c r="B9" s="1">
        <f t="shared" si="1"/>
        <v>5</v>
      </c>
      <c r="C9" s="1">
        <f t="shared" si="0"/>
        <v>-9.5892427466313848</v>
      </c>
    </row>
    <row r="10" spans="1:3" x14ac:dyDescent="0.3">
      <c r="A10" s="1">
        <v>6</v>
      </c>
      <c r="B10" s="1">
        <f t="shared" si="1"/>
        <v>6</v>
      </c>
      <c r="C10" s="1">
        <f t="shared" si="0"/>
        <v>-2.7941549819892586</v>
      </c>
    </row>
    <row r="11" spans="1:3" x14ac:dyDescent="0.3">
      <c r="A11" s="1">
        <v>7</v>
      </c>
      <c r="B11" s="1">
        <f t="shared" si="1"/>
        <v>7</v>
      </c>
      <c r="C11" s="1">
        <f t="shared" si="0"/>
        <v>6.5698659871878906</v>
      </c>
    </row>
    <row r="12" spans="1:3" x14ac:dyDescent="0.3">
      <c r="A12" s="1">
        <v>8</v>
      </c>
      <c r="B12" s="1">
        <f t="shared" si="1"/>
        <v>8</v>
      </c>
      <c r="C12" s="1">
        <f t="shared" si="0"/>
        <v>9.8935824662338181</v>
      </c>
    </row>
    <row r="13" spans="1:3" x14ac:dyDescent="0.3">
      <c r="A13" s="1">
        <v>9</v>
      </c>
      <c r="B13" s="1">
        <f t="shared" si="1"/>
        <v>9</v>
      </c>
      <c r="C13" s="1">
        <f t="shared" si="0"/>
        <v>4.1211848524175663</v>
      </c>
    </row>
    <row r="14" spans="1:3" x14ac:dyDescent="0.3">
      <c r="A14" s="1">
        <v>10</v>
      </c>
      <c r="B14" s="1">
        <f t="shared" si="1"/>
        <v>10</v>
      </c>
      <c r="C14" s="1">
        <f t="shared" si="0"/>
        <v>-5.4402111088936973</v>
      </c>
    </row>
    <row r="15" spans="1:3" x14ac:dyDescent="0.3">
      <c r="A15" s="1">
        <v>11</v>
      </c>
      <c r="B15" s="1">
        <f t="shared" si="1"/>
        <v>11</v>
      </c>
      <c r="C15" s="1">
        <f t="shared" si="0"/>
        <v>-9.999902065507035</v>
      </c>
    </row>
    <row r="16" spans="1:3" x14ac:dyDescent="0.3">
      <c r="A16" s="1">
        <v>12</v>
      </c>
      <c r="B16" s="1">
        <f t="shared" si="1"/>
        <v>12</v>
      </c>
      <c r="C16" s="1">
        <f t="shared" si="0"/>
        <v>-5.3657291800043492</v>
      </c>
    </row>
    <row r="17" spans="1:3" x14ac:dyDescent="0.3">
      <c r="A17" s="1">
        <v>13</v>
      </c>
      <c r="B17" s="1">
        <f t="shared" si="1"/>
        <v>13</v>
      </c>
      <c r="C17" s="1">
        <f t="shared" si="0"/>
        <v>4.2016703682664094</v>
      </c>
    </row>
    <row r="18" spans="1:3" x14ac:dyDescent="0.3">
      <c r="A18" s="1">
        <v>14</v>
      </c>
      <c r="B18" s="1">
        <f t="shared" si="1"/>
        <v>14</v>
      </c>
      <c r="C18" s="1">
        <f t="shared" si="0"/>
        <v>9.9060735569487033</v>
      </c>
    </row>
    <row r="19" spans="1:3" x14ac:dyDescent="0.3">
      <c r="A19" s="1">
        <v>15</v>
      </c>
      <c r="B19" s="1">
        <f t="shared" si="1"/>
        <v>15</v>
      </c>
      <c r="C19" s="1">
        <f t="shared" si="0"/>
        <v>6.5028784015711683</v>
      </c>
    </row>
    <row r="20" spans="1:3" x14ac:dyDescent="0.3">
      <c r="A20" s="1">
        <v>16</v>
      </c>
      <c r="B20" s="1">
        <f t="shared" si="1"/>
        <v>16</v>
      </c>
      <c r="C20" s="1">
        <f t="shared" si="0"/>
        <v>-2.879033166650653</v>
      </c>
    </row>
    <row r="21" spans="1:3" x14ac:dyDescent="0.3">
      <c r="A21" s="1">
        <v>17</v>
      </c>
      <c r="B21" s="1">
        <f t="shared" si="1"/>
        <v>17</v>
      </c>
      <c r="C21" s="1">
        <f t="shared" si="0"/>
        <v>-9.6139749187955683</v>
      </c>
    </row>
    <row r="22" spans="1:3" x14ac:dyDescent="0.3">
      <c r="A22" s="1">
        <v>18</v>
      </c>
      <c r="B22" s="1">
        <f t="shared" si="1"/>
        <v>18</v>
      </c>
      <c r="C22" s="1">
        <f t="shared" si="0"/>
        <v>-7.509872467716761</v>
      </c>
    </row>
    <row r="23" spans="1:3" x14ac:dyDescent="0.3">
      <c r="A23" s="1">
        <v>19</v>
      </c>
      <c r="B23" s="1">
        <f t="shared" si="1"/>
        <v>19</v>
      </c>
      <c r="C23" s="1">
        <f t="shared" si="0"/>
        <v>1.4987720966295235</v>
      </c>
    </row>
    <row r="24" spans="1:3" x14ac:dyDescent="0.3">
      <c r="A24" s="1">
        <v>20</v>
      </c>
      <c r="B24" s="1">
        <f t="shared" si="1"/>
        <v>20</v>
      </c>
      <c r="C24" s="1">
        <f t="shared" si="0"/>
        <v>9.1294525072762767</v>
      </c>
    </row>
    <row r="25" spans="1:3" x14ac:dyDescent="0.3">
      <c r="A25" s="1">
        <v>21</v>
      </c>
      <c r="B25" s="1">
        <f t="shared" si="1"/>
        <v>21</v>
      </c>
      <c r="C25" s="1">
        <f t="shared" si="0"/>
        <v>8.3665563853605605</v>
      </c>
    </row>
    <row r="26" spans="1:3" x14ac:dyDescent="0.3">
      <c r="A26" s="1">
        <v>22</v>
      </c>
      <c r="B26" s="1">
        <f t="shared" si="1"/>
        <v>22</v>
      </c>
      <c r="C26" s="1">
        <f t="shared" si="0"/>
        <v>-8.8513092904038762E-2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:C17"/>
  <sheetViews>
    <sheetView workbookViewId="0">
      <selection activeCell="G19" sqref="G19"/>
    </sheetView>
  </sheetViews>
  <sheetFormatPr defaultRowHeight="14.4" x14ac:dyDescent="0.3"/>
  <sheetData>
    <row r="1" spans="1:3" ht="16.2" x14ac:dyDescent="0.3">
      <c r="A1" t="s">
        <v>7</v>
      </c>
    </row>
    <row r="3" spans="1:3" x14ac:dyDescent="0.3">
      <c r="A3" s="1" t="s">
        <v>1</v>
      </c>
      <c r="B3" s="1" t="s">
        <v>8</v>
      </c>
      <c r="C3" s="1" t="s">
        <v>9</v>
      </c>
    </row>
    <row r="4" spans="1:3" x14ac:dyDescent="0.3">
      <c r="A4" s="1">
        <v>9</v>
      </c>
      <c r="B4" s="1">
        <f>POWER(2,-A4)</f>
        <v>1.953125E-3</v>
      </c>
      <c r="C4" s="1">
        <f>SIN(A4)</f>
        <v>0.41211848524175659</v>
      </c>
    </row>
    <row r="5" spans="1:3" x14ac:dyDescent="0.3">
      <c r="A5" s="1">
        <v>8</v>
      </c>
      <c r="B5" s="1">
        <f t="shared" ref="B5:B17" si="0">POWER(2,-A5)</f>
        <v>3.90625E-3</v>
      </c>
      <c r="C5" s="1">
        <f>SIN(A5)</f>
        <v>0.98935824662338179</v>
      </c>
    </row>
    <row r="6" spans="1:3" x14ac:dyDescent="0.3">
      <c r="A6" s="1">
        <v>7</v>
      </c>
      <c r="B6" s="1">
        <f t="shared" si="0"/>
        <v>7.8125E-3</v>
      </c>
      <c r="C6" s="1">
        <f t="shared" ref="C6:C14" si="1">SIN(A6)</f>
        <v>0.65698659871878906</v>
      </c>
    </row>
    <row r="7" spans="1:3" x14ac:dyDescent="0.3">
      <c r="A7" s="1">
        <v>6</v>
      </c>
      <c r="B7" s="1">
        <f t="shared" si="0"/>
        <v>1.5625E-2</v>
      </c>
      <c r="C7" s="1">
        <f t="shared" si="1"/>
        <v>-0.27941549819892586</v>
      </c>
    </row>
    <row r="8" spans="1:3" x14ac:dyDescent="0.3">
      <c r="A8" s="1">
        <v>5</v>
      </c>
      <c r="B8" s="1">
        <f t="shared" si="0"/>
        <v>3.125E-2</v>
      </c>
      <c r="C8" s="1">
        <f t="shared" si="1"/>
        <v>-0.95892427466313845</v>
      </c>
    </row>
    <row r="9" spans="1:3" x14ac:dyDescent="0.3">
      <c r="A9" s="1">
        <v>4</v>
      </c>
      <c r="B9" s="1">
        <f t="shared" si="0"/>
        <v>6.25E-2</v>
      </c>
      <c r="C9" s="1">
        <f t="shared" si="1"/>
        <v>-0.7568024953079282</v>
      </c>
    </row>
    <row r="10" spans="1:3" x14ac:dyDescent="0.3">
      <c r="A10" s="1">
        <v>3</v>
      </c>
      <c r="B10" s="1">
        <f t="shared" si="0"/>
        <v>0.125</v>
      </c>
      <c r="C10" s="1">
        <f t="shared" si="1"/>
        <v>0.14112000805986721</v>
      </c>
    </row>
    <row r="11" spans="1:3" x14ac:dyDescent="0.3">
      <c r="A11" s="1">
        <v>2</v>
      </c>
      <c r="B11" s="1">
        <f t="shared" si="0"/>
        <v>0.25</v>
      </c>
      <c r="C11" s="1">
        <f t="shared" si="1"/>
        <v>0.90929742682568171</v>
      </c>
    </row>
    <row r="12" spans="1:3" x14ac:dyDescent="0.3">
      <c r="A12" s="1">
        <v>1</v>
      </c>
      <c r="B12" s="1">
        <f t="shared" si="0"/>
        <v>0.5</v>
      </c>
      <c r="C12" s="1">
        <f t="shared" si="1"/>
        <v>0.8414709848078965</v>
      </c>
    </row>
    <row r="13" spans="1:3" x14ac:dyDescent="0.3">
      <c r="A13" s="1">
        <v>0</v>
      </c>
      <c r="B13" s="1">
        <f t="shared" si="0"/>
        <v>1</v>
      </c>
      <c r="C13" s="1">
        <f t="shared" si="1"/>
        <v>0</v>
      </c>
    </row>
    <row r="14" spans="1:3" x14ac:dyDescent="0.3">
      <c r="A14" s="1">
        <v>-1</v>
      </c>
      <c r="B14" s="1">
        <f t="shared" si="0"/>
        <v>2</v>
      </c>
      <c r="C14" s="1">
        <f t="shared" si="1"/>
        <v>-0.8414709848078965</v>
      </c>
    </row>
    <row r="15" spans="1:3" x14ac:dyDescent="0.3">
      <c r="A15" s="1">
        <v>-2</v>
      </c>
      <c r="B15" s="1">
        <f>POWER(2,-A15)</f>
        <v>4</v>
      </c>
      <c r="C15" s="1">
        <f>SIN(A15)</f>
        <v>-0.90929742682568171</v>
      </c>
    </row>
    <row r="16" spans="1:3" x14ac:dyDescent="0.3">
      <c r="A16" s="1">
        <v>-3</v>
      </c>
      <c r="B16" s="1">
        <f t="shared" si="0"/>
        <v>8</v>
      </c>
      <c r="C16" s="1">
        <f>SIN(A16)</f>
        <v>-0.14112000805986721</v>
      </c>
    </row>
    <row r="17" spans="1:3" x14ac:dyDescent="0.3">
      <c r="A17" s="1">
        <v>-4</v>
      </c>
      <c r="B17" s="1">
        <f t="shared" si="0"/>
        <v>16</v>
      </c>
      <c r="C17" s="1">
        <f t="shared" ref="C17" si="2">SIN(A17)</f>
        <v>0.7568024953079282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8"/>
  <sheetViews>
    <sheetView workbookViewId="0">
      <selection activeCell="I23" sqref="I23"/>
    </sheetView>
  </sheetViews>
  <sheetFormatPr defaultRowHeight="14.4" x14ac:dyDescent="0.3"/>
  <sheetData>
    <row r="1" spans="1:3" ht="16.2" x14ac:dyDescent="0.3">
      <c r="A1" t="s">
        <v>10</v>
      </c>
    </row>
    <row r="3" spans="1:3" x14ac:dyDescent="0.3">
      <c r="A3" s="1" t="s">
        <v>1</v>
      </c>
      <c r="B3" s="1" t="s">
        <v>11</v>
      </c>
      <c r="C3" s="1" t="s">
        <v>12</v>
      </c>
    </row>
    <row r="4" spans="1:3" x14ac:dyDescent="0.3">
      <c r="A4" s="1">
        <v>-9</v>
      </c>
      <c r="B4" s="1">
        <f>POWER(2,A4)</f>
        <v>1.953125E-3</v>
      </c>
      <c r="C4" s="1">
        <f>2*COS(A4)</f>
        <v>-1.8222605237693539</v>
      </c>
    </row>
    <row r="5" spans="1:3" x14ac:dyDescent="0.3">
      <c r="A5" s="1">
        <v>-8</v>
      </c>
      <c r="B5" s="1">
        <f t="shared" ref="B5:B18" si="0">POWER(2,A5)</f>
        <v>3.90625E-3</v>
      </c>
      <c r="C5" s="1">
        <f t="shared" ref="C5:C18" si="1">2*COS(A5)</f>
        <v>-0.29100006761722708</v>
      </c>
    </row>
    <row r="6" spans="1:3" x14ac:dyDescent="0.3">
      <c r="A6" s="1">
        <v>-7</v>
      </c>
      <c r="B6" s="1">
        <f t="shared" si="0"/>
        <v>7.8125E-3</v>
      </c>
      <c r="C6" s="1">
        <f t="shared" si="1"/>
        <v>1.5078045086866092</v>
      </c>
    </row>
    <row r="7" spans="1:3" x14ac:dyDescent="0.3">
      <c r="A7" s="1">
        <v>-6</v>
      </c>
      <c r="B7" s="1">
        <f t="shared" si="0"/>
        <v>1.5625E-2</v>
      </c>
      <c r="C7" s="1">
        <f t="shared" si="1"/>
        <v>1.9203405733007319</v>
      </c>
    </row>
    <row r="8" spans="1:3" x14ac:dyDescent="0.3">
      <c r="A8" s="1">
        <v>-5</v>
      </c>
      <c r="B8" s="1">
        <f t="shared" si="0"/>
        <v>3.125E-2</v>
      </c>
      <c r="C8" s="1">
        <f t="shared" si="1"/>
        <v>0.56732437092645249</v>
      </c>
    </row>
    <row r="9" spans="1:3" x14ac:dyDescent="0.3">
      <c r="A9" s="1">
        <v>-4</v>
      </c>
      <c r="B9" s="1">
        <f t="shared" si="0"/>
        <v>6.25E-2</v>
      </c>
      <c r="C9" s="1">
        <f t="shared" si="1"/>
        <v>-1.3072872417272239</v>
      </c>
    </row>
    <row r="10" spans="1:3" x14ac:dyDescent="0.3">
      <c r="A10" s="1">
        <v>-3</v>
      </c>
      <c r="B10" s="1">
        <f t="shared" si="0"/>
        <v>0.125</v>
      </c>
      <c r="C10" s="1">
        <f t="shared" si="1"/>
        <v>-1.9799849932008908</v>
      </c>
    </row>
    <row r="11" spans="1:3" x14ac:dyDescent="0.3">
      <c r="A11" s="1">
        <v>-2</v>
      </c>
      <c r="B11" s="1">
        <f t="shared" si="0"/>
        <v>0.25</v>
      </c>
      <c r="C11" s="1">
        <f t="shared" si="1"/>
        <v>-0.83229367309428481</v>
      </c>
    </row>
    <row r="12" spans="1:3" x14ac:dyDescent="0.3">
      <c r="A12" s="1">
        <v>-1</v>
      </c>
      <c r="B12" s="1">
        <f t="shared" si="0"/>
        <v>0.5</v>
      </c>
      <c r="C12" s="1">
        <f t="shared" si="1"/>
        <v>1.0806046117362795</v>
      </c>
    </row>
    <row r="13" spans="1:3" x14ac:dyDescent="0.3">
      <c r="A13" s="1">
        <v>0</v>
      </c>
      <c r="B13" s="1">
        <f t="shared" si="0"/>
        <v>1</v>
      </c>
      <c r="C13" s="1">
        <f t="shared" si="1"/>
        <v>2</v>
      </c>
    </row>
    <row r="14" spans="1:3" x14ac:dyDescent="0.3">
      <c r="A14" s="1">
        <v>1</v>
      </c>
      <c r="B14" s="1">
        <f t="shared" si="0"/>
        <v>2</v>
      </c>
      <c r="C14" s="1">
        <f t="shared" si="1"/>
        <v>1.0806046117362795</v>
      </c>
    </row>
    <row r="15" spans="1:3" x14ac:dyDescent="0.3">
      <c r="A15" s="1">
        <v>2</v>
      </c>
      <c r="B15" s="1">
        <f>POWER(2,A15)</f>
        <v>4</v>
      </c>
      <c r="C15" s="1">
        <f>2*COS(A15)</f>
        <v>-0.83229367309428481</v>
      </c>
    </row>
    <row r="16" spans="1:3" x14ac:dyDescent="0.3">
      <c r="A16" s="1">
        <v>3</v>
      </c>
      <c r="B16" s="1">
        <f t="shared" si="0"/>
        <v>8</v>
      </c>
      <c r="C16" s="1">
        <f t="shared" si="1"/>
        <v>-1.9799849932008908</v>
      </c>
    </row>
    <row r="17" spans="1:3" x14ac:dyDescent="0.3">
      <c r="A17" s="1">
        <v>4</v>
      </c>
      <c r="B17" s="1">
        <f t="shared" si="0"/>
        <v>16</v>
      </c>
      <c r="C17" s="1">
        <f t="shared" si="1"/>
        <v>-1.3072872417272239</v>
      </c>
    </row>
    <row r="18" spans="1:3" x14ac:dyDescent="0.3">
      <c r="A18" s="1">
        <v>5</v>
      </c>
      <c r="B18" s="1">
        <f t="shared" si="0"/>
        <v>32</v>
      </c>
      <c r="C18" s="1">
        <f t="shared" si="1"/>
        <v>0.56732437092645249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workbookViewId="0">
      <selection activeCell="D20" sqref="D20"/>
    </sheetView>
  </sheetViews>
  <sheetFormatPr defaultRowHeight="14.4" x14ac:dyDescent="0.3"/>
  <sheetData>
    <row r="1" spans="1:3" x14ac:dyDescent="0.3">
      <c r="A1" t="s">
        <v>13</v>
      </c>
    </row>
    <row r="3" spans="1:3" x14ac:dyDescent="0.3">
      <c r="A3" s="1" t="s">
        <v>1</v>
      </c>
      <c r="B3" s="1" t="s">
        <v>14</v>
      </c>
      <c r="C3" s="1" t="s">
        <v>3</v>
      </c>
    </row>
    <row r="4" spans="1:3" x14ac:dyDescent="0.3">
      <c r="A4" s="1">
        <v>4</v>
      </c>
      <c r="B4" s="1">
        <f>LOG(A4+5)</f>
        <v>0.95424250943932487</v>
      </c>
      <c r="C4" s="1">
        <f>COS(A4)</f>
        <v>-0.65364362086361194</v>
      </c>
    </row>
    <row r="5" spans="1:3" x14ac:dyDescent="0.3">
      <c r="A5" s="1">
        <v>3</v>
      </c>
      <c r="B5" s="1">
        <f t="shared" ref="B5:B13" si="0">LOG(A5+5)</f>
        <v>0.90308998699194354</v>
      </c>
      <c r="C5" s="1">
        <f t="shared" ref="C5:C17" si="1">COS(A5)</f>
        <v>-0.98999249660044542</v>
      </c>
    </row>
    <row r="6" spans="1:3" x14ac:dyDescent="0.3">
      <c r="A6" s="1">
        <v>2</v>
      </c>
      <c r="B6" s="1">
        <f t="shared" si="0"/>
        <v>0.84509804001425681</v>
      </c>
      <c r="C6" s="1">
        <f t="shared" si="1"/>
        <v>-0.41614683654714241</v>
      </c>
    </row>
    <row r="7" spans="1:3" x14ac:dyDescent="0.3">
      <c r="A7" s="1">
        <v>1</v>
      </c>
      <c r="B7" s="1">
        <f t="shared" si="0"/>
        <v>0.77815125038364363</v>
      </c>
      <c r="C7" s="1">
        <f t="shared" si="1"/>
        <v>0.54030230586813977</v>
      </c>
    </row>
    <row r="8" spans="1:3" x14ac:dyDescent="0.3">
      <c r="A8" s="1">
        <v>0</v>
      </c>
      <c r="B8" s="1">
        <f t="shared" si="0"/>
        <v>0.69897000433601886</v>
      </c>
      <c r="C8" s="1">
        <f t="shared" si="1"/>
        <v>1</v>
      </c>
    </row>
    <row r="9" spans="1:3" x14ac:dyDescent="0.3">
      <c r="A9" s="1">
        <v>-1</v>
      </c>
      <c r="B9" s="1">
        <f t="shared" si="0"/>
        <v>0.6020599913279624</v>
      </c>
      <c r="C9" s="1">
        <f t="shared" si="1"/>
        <v>0.54030230586813977</v>
      </c>
    </row>
    <row r="10" spans="1:3" x14ac:dyDescent="0.3">
      <c r="A10" s="1">
        <v>-2</v>
      </c>
      <c r="B10" s="1">
        <f t="shared" si="0"/>
        <v>0.47712125471966244</v>
      </c>
      <c r="C10" s="1">
        <f t="shared" si="1"/>
        <v>-0.41614683654714241</v>
      </c>
    </row>
    <row r="11" spans="1:3" x14ac:dyDescent="0.3">
      <c r="A11" s="1">
        <v>-3</v>
      </c>
      <c r="B11" s="1">
        <f t="shared" si="0"/>
        <v>0.3010299956639812</v>
      </c>
      <c r="C11" s="1">
        <f t="shared" si="1"/>
        <v>-0.98999249660044542</v>
      </c>
    </row>
    <row r="12" spans="1:3" x14ac:dyDescent="0.3">
      <c r="A12" s="1">
        <v>-4</v>
      </c>
      <c r="B12" s="1">
        <f t="shared" si="0"/>
        <v>0</v>
      </c>
      <c r="C12" s="1">
        <f t="shared" si="1"/>
        <v>-0.65364362086361194</v>
      </c>
    </row>
    <row r="13" spans="1:3" x14ac:dyDescent="0.3">
      <c r="A13" s="1">
        <v>-5</v>
      </c>
      <c r="B13" s="1" t="e">
        <f t="shared" si="0"/>
        <v>#NUM!</v>
      </c>
      <c r="C13" s="1">
        <f t="shared" si="1"/>
        <v>0.28366218546322625</v>
      </c>
    </row>
    <row r="14" spans="1:3" x14ac:dyDescent="0.3">
      <c r="A14" s="1">
        <v>-6</v>
      </c>
      <c r="B14" s="1" t="e">
        <f>LOG(A14+5)</f>
        <v>#NUM!</v>
      </c>
      <c r="C14" s="1">
        <f t="shared" si="1"/>
        <v>0.96017028665036597</v>
      </c>
    </row>
    <row r="15" spans="1:3" x14ac:dyDescent="0.3">
      <c r="A15" s="1">
        <v>-7</v>
      </c>
      <c r="B15" s="1" t="e">
        <f>LOG(A15+5)</f>
        <v>#NUM!</v>
      </c>
      <c r="C15" s="1">
        <f>COS(A15)</f>
        <v>0.7539022543433046</v>
      </c>
    </row>
    <row r="16" spans="1:3" x14ac:dyDescent="0.3">
      <c r="A16" s="1">
        <v>-8</v>
      </c>
      <c r="B16" s="1" t="e">
        <f t="shared" ref="B16:B17" si="2">LOG(A16+5)</f>
        <v>#NUM!</v>
      </c>
      <c r="C16" s="1">
        <f t="shared" si="1"/>
        <v>-0.14550003380861354</v>
      </c>
    </row>
    <row r="17" spans="1:3" x14ac:dyDescent="0.3">
      <c r="A17" s="1">
        <v>-9</v>
      </c>
      <c r="B17" s="1" t="e">
        <f t="shared" si="2"/>
        <v>#NUM!</v>
      </c>
      <c r="C17" s="1">
        <f t="shared" si="1"/>
        <v>-0.91113026188467694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9"/>
  <sheetViews>
    <sheetView workbookViewId="0">
      <selection activeCell="D20" sqref="D20"/>
    </sheetView>
  </sheetViews>
  <sheetFormatPr defaultRowHeight="14.4" x14ac:dyDescent="0.3"/>
  <sheetData>
    <row r="1" spans="1:4" x14ac:dyDescent="0.3">
      <c r="A1" t="s">
        <v>15</v>
      </c>
    </row>
    <row r="3" spans="1:4" ht="15" x14ac:dyDescent="0.3">
      <c r="A3" s="1" t="s">
        <v>1</v>
      </c>
      <c r="B3" s="1" t="s">
        <v>16</v>
      </c>
      <c r="C3" s="1" t="s">
        <v>17</v>
      </c>
      <c r="D3" s="3"/>
    </row>
    <row r="4" spans="1:4" x14ac:dyDescent="0.3">
      <c r="A4" s="1">
        <v>0</v>
      </c>
      <c r="B4" s="1">
        <f>SQRT(4*A4+7)</f>
        <v>2.6457513110645907</v>
      </c>
      <c r="C4" s="1">
        <f>3*COS(A4)</f>
        <v>3</v>
      </c>
    </row>
    <row r="5" spans="1:4" x14ac:dyDescent="0.3">
      <c r="A5" s="1">
        <v>1</v>
      </c>
      <c r="B5" s="1">
        <f t="shared" ref="B5:B19" si="0">SQRT(4*A5+7)</f>
        <v>3.3166247903553998</v>
      </c>
      <c r="C5" s="1">
        <f t="shared" ref="C5:C19" si="1">3*COS(A5)</f>
        <v>1.6209069176044193</v>
      </c>
    </row>
    <row r="6" spans="1:4" x14ac:dyDescent="0.3">
      <c r="A6" s="1">
        <v>2</v>
      </c>
      <c r="B6" s="1">
        <f t="shared" si="0"/>
        <v>3.872983346207417</v>
      </c>
      <c r="C6" s="1">
        <f t="shared" si="1"/>
        <v>-1.2484405096414273</v>
      </c>
    </row>
    <row r="7" spans="1:4" x14ac:dyDescent="0.3">
      <c r="A7" s="1">
        <v>3</v>
      </c>
      <c r="B7" s="1">
        <f t="shared" si="0"/>
        <v>4.358898943540674</v>
      </c>
      <c r="C7" s="1">
        <f t="shared" si="1"/>
        <v>-2.9699774898013365</v>
      </c>
    </row>
    <row r="8" spans="1:4" x14ac:dyDescent="0.3">
      <c r="A8" s="1">
        <v>4</v>
      </c>
      <c r="B8" s="1">
        <f t="shared" si="0"/>
        <v>4.7958315233127191</v>
      </c>
      <c r="C8" s="1">
        <f t="shared" si="1"/>
        <v>-1.9609308625908359</v>
      </c>
    </row>
    <row r="9" spans="1:4" x14ac:dyDescent="0.3">
      <c r="A9" s="1">
        <v>5</v>
      </c>
      <c r="B9" s="1">
        <f t="shared" si="0"/>
        <v>5.196152422706632</v>
      </c>
      <c r="C9" s="1">
        <f t="shared" si="1"/>
        <v>0.85098655638967879</v>
      </c>
    </row>
    <row r="10" spans="1:4" x14ac:dyDescent="0.3">
      <c r="A10" s="1">
        <v>6</v>
      </c>
      <c r="B10" s="1">
        <f t="shared" si="0"/>
        <v>5.5677643628300215</v>
      </c>
      <c r="C10" s="1">
        <f t="shared" si="1"/>
        <v>2.880510859951098</v>
      </c>
    </row>
    <row r="11" spans="1:4" x14ac:dyDescent="0.3">
      <c r="A11" s="1">
        <v>7</v>
      </c>
      <c r="B11" s="1">
        <f t="shared" si="0"/>
        <v>5.9160797830996161</v>
      </c>
      <c r="C11" s="1">
        <f t="shared" si="1"/>
        <v>2.2617067630299137</v>
      </c>
    </row>
    <row r="12" spans="1:4" x14ac:dyDescent="0.3">
      <c r="A12" s="1">
        <v>8</v>
      </c>
      <c r="B12" s="1">
        <f t="shared" si="0"/>
        <v>6.2449979983983983</v>
      </c>
      <c r="C12" s="1">
        <f t="shared" si="1"/>
        <v>-0.43650010142584061</v>
      </c>
    </row>
    <row r="13" spans="1:4" x14ac:dyDescent="0.3">
      <c r="A13" s="1">
        <v>9</v>
      </c>
      <c r="B13" s="1">
        <f t="shared" si="0"/>
        <v>6.5574385243020004</v>
      </c>
      <c r="C13" s="1">
        <f t="shared" si="1"/>
        <v>-2.7333907856540307</v>
      </c>
    </row>
    <row r="14" spans="1:4" x14ac:dyDescent="0.3">
      <c r="A14" s="1">
        <v>10</v>
      </c>
      <c r="B14" s="1">
        <f t="shared" si="0"/>
        <v>6.8556546004010439</v>
      </c>
      <c r="C14" s="1">
        <f t="shared" si="1"/>
        <v>-2.5172145872293572</v>
      </c>
    </row>
    <row r="15" spans="1:4" x14ac:dyDescent="0.3">
      <c r="A15" s="1">
        <v>11</v>
      </c>
      <c r="B15" s="1">
        <f>SQRT(4*A15+7)</f>
        <v>7.1414284285428504</v>
      </c>
      <c r="C15" s="1">
        <f>3*COS(A15)</f>
        <v>1.3277093964152355E-2</v>
      </c>
    </row>
    <row r="16" spans="1:4" x14ac:dyDescent="0.3">
      <c r="A16" s="1">
        <v>12</v>
      </c>
      <c r="B16" s="1">
        <f t="shared" si="0"/>
        <v>7.416198487095663</v>
      </c>
      <c r="C16" s="1">
        <f t="shared" si="1"/>
        <v>2.5315618761974763</v>
      </c>
    </row>
    <row r="17" spans="1:3" x14ac:dyDescent="0.3">
      <c r="A17" s="1">
        <v>13</v>
      </c>
      <c r="B17" s="1">
        <f t="shared" si="0"/>
        <v>7.6811457478686078</v>
      </c>
      <c r="C17" s="1">
        <f t="shared" si="1"/>
        <v>2.7223403443505885</v>
      </c>
    </row>
    <row r="18" spans="1:3" x14ac:dyDescent="0.3">
      <c r="A18" s="1">
        <v>14</v>
      </c>
      <c r="B18" s="1">
        <f t="shared" si="0"/>
        <v>7.9372539331937721</v>
      </c>
      <c r="C18" s="1">
        <f t="shared" si="1"/>
        <v>0.41021165462350084</v>
      </c>
    </row>
    <row r="19" spans="1:3" x14ac:dyDescent="0.3">
      <c r="A19" s="1">
        <v>15</v>
      </c>
      <c r="B19" s="1">
        <f t="shared" si="0"/>
        <v>8.1853527718724504</v>
      </c>
      <c r="C19" s="1">
        <f t="shared" si="1"/>
        <v>-2.2790637385764638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3"/>
  <sheetViews>
    <sheetView workbookViewId="0"/>
  </sheetViews>
  <sheetFormatPr defaultRowHeight="14.4" x14ac:dyDescent="0.3"/>
  <sheetData>
    <row r="1" spans="1:3" x14ac:dyDescent="0.3">
      <c r="A1" t="s">
        <v>18</v>
      </c>
    </row>
    <row r="3" spans="1:3" x14ac:dyDescent="0.3">
      <c r="A3" s="1" t="s">
        <v>1</v>
      </c>
      <c r="B3" s="1" t="s">
        <v>19</v>
      </c>
      <c r="C3" s="1">
        <v>1</v>
      </c>
    </row>
    <row r="4" spans="1:3" x14ac:dyDescent="0.3">
      <c r="A4" s="1">
        <v>1</v>
      </c>
      <c r="B4" s="1">
        <f>A4*SIN(A4)</f>
        <v>0.8414709848078965</v>
      </c>
      <c r="C4" s="1">
        <v>1</v>
      </c>
    </row>
    <row r="5" spans="1:3" x14ac:dyDescent="0.3">
      <c r="A5" s="1">
        <v>2</v>
      </c>
      <c r="B5" s="1">
        <f t="shared" ref="B5:B13" si="0">A5*SIN(A5)</f>
        <v>1.8185948536513634</v>
      </c>
      <c r="C5" s="1">
        <v>1</v>
      </c>
    </row>
    <row r="6" spans="1:3" x14ac:dyDescent="0.3">
      <c r="A6" s="1">
        <v>3</v>
      </c>
      <c r="B6" s="1">
        <f t="shared" si="0"/>
        <v>0.42336002417960161</v>
      </c>
      <c r="C6" s="1">
        <v>1</v>
      </c>
    </row>
    <row r="7" spans="1:3" x14ac:dyDescent="0.3">
      <c r="A7" s="1">
        <v>4</v>
      </c>
      <c r="B7" s="1">
        <f t="shared" si="0"/>
        <v>-3.0272099812317128</v>
      </c>
      <c r="C7" s="1">
        <v>1</v>
      </c>
    </row>
    <row r="8" spans="1:3" x14ac:dyDescent="0.3">
      <c r="A8" s="1">
        <v>5</v>
      </c>
      <c r="B8" s="1">
        <f t="shared" si="0"/>
        <v>-4.7946213733156924</v>
      </c>
      <c r="C8" s="1">
        <v>1</v>
      </c>
    </row>
    <row r="9" spans="1:3" x14ac:dyDescent="0.3">
      <c r="A9" s="1">
        <v>6</v>
      </c>
      <c r="B9" s="1">
        <f t="shared" si="0"/>
        <v>-1.6764929891935552</v>
      </c>
      <c r="C9" s="1">
        <v>1</v>
      </c>
    </row>
    <row r="10" spans="1:3" x14ac:dyDescent="0.3">
      <c r="A10" s="1">
        <v>7</v>
      </c>
      <c r="B10" s="1">
        <f t="shared" si="0"/>
        <v>4.5989061910315234</v>
      </c>
      <c r="C10" s="1">
        <v>1</v>
      </c>
    </row>
    <row r="11" spans="1:3" x14ac:dyDescent="0.3">
      <c r="A11" s="1">
        <v>8</v>
      </c>
      <c r="B11" s="1">
        <f t="shared" si="0"/>
        <v>7.9148659729870543</v>
      </c>
      <c r="C11" s="1">
        <v>1</v>
      </c>
    </row>
    <row r="12" spans="1:3" x14ac:dyDescent="0.3">
      <c r="A12" s="1">
        <v>9</v>
      </c>
      <c r="B12" s="1">
        <f t="shared" si="0"/>
        <v>3.7090663671758093</v>
      </c>
      <c r="C12" s="1">
        <v>1</v>
      </c>
    </row>
    <row r="13" spans="1:3" x14ac:dyDescent="0.3">
      <c r="A13" s="1">
        <v>10</v>
      </c>
      <c r="B13" s="1">
        <f t="shared" si="0"/>
        <v>-5.4402111088936973</v>
      </c>
      <c r="C13" s="1">
        <v>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workbookViewId="0">
      <selection activeCell="V13" sqref="V13"/>
    </sheetView>
  </sheetViews>
  <sheetFormatPr defaultRowHeight="14.4" x14ac:dyDescent="0.3"/>
  <sheetData>
    <row r="1" spans="1:3" x14ac:dyDescent="0.3">
      <c r="A1" t="s">
        <v>20</v>
      </c>
    </row>
    <row r="3" spans="1:3" x14ac:dyDescent="0.3">
      <c r="A3" s="1" t="s">
        <v>1</v>
      </c>
      <c r="B3" s="1" t="s">
        <v>21</v>
      </c>
      <c r="C3" s="1" t="s">
        <v>22</v>
      </c>
    </row>
    <row r="4" spans="1:3" x14ac:dyDescent="0.3">
      <c r="A4" s="1">
        <v>-10</v>
      </c>
      <c r="B4" s="1">
        <f>8*COS(A4)</f>
        <v>-6.7125722326116195</v>
      </c>
      <c r="C4" s="1">
        <f>A4+6</f>
        <v>-4</v>
      </c>
    </row>
    <row r="5" spans="1:3" x14ac:dyDescent="0.3">
      <c r="A5" s="1">
        <v>-9</v>
      </c>
      <c r="B5" s="1">
        <f t="shared" ref="B5:B14" si="0">8*COS(A5)</f>
        <v>-7.2890420950774155</v>
      </c>
      <c r="C5" s="1">
        <f t="shared" ref="C5:C14" si="1">A5+6</f>
        <v>-3</v>
      </c>
    </row>
    <row r="6" spans="1:3" x14ac:dyDescent="0.3">
      <c r="A6" s="1">
        <v>-8</v>
      </c>
      <c r="B6" s="1">
        <f t="shared" si="0"/>
        <v>-1.1640002704689083</v>
      </c>
      <c r="C6" s="1">
        <f t="shared" si="1"/>
        <v>-2</v>
      </c>
    </row>
    <row r="7" spans="1:3" x14ac:dyDescent="0.3">
      <c r="A7" s="1">
        <v>-7</v>
      </c>
      <c r="B7" s="1">
        <f t="shared" si="0"/>
        <v>6.0312180347464368</v>
      </c>
      <c r="C7" s="1">
        <f t="shared" si="1"/>
        <v>-1</v>
      </c>
    </row>
    <row r="8" spans="1:3" x14ac:dyDescent="0.3">
      <c r="A8" s="1">
        <v>-6</v>
      </c>
      <c r="B8" s="1">
        <f t="shared" si="0"/>
        <v>7.6813622932029277</v>
      </c>
      <c r="C8" s="1">
        <f t="shared" si="1"/>
        <v>0</v>
      </c>
    </row>
    <row r="9" spans="1:3" x14ac:dyDescent="0.3">
      <c r="A9" s="1">
        <v>-5</v>
      </c>
      <c r="B9" s="1">
        <f t="shared" si="0"/>
        <v>2.26929748370581</v>
      </c>
      <c r="C9" s="1">
        <f t="shared" si="1"/>
        <v>1</v>
      </c>
    </row>
    <row r="10" spans="1:3" x14ac:dyDescent="0.3">
      <c r="A10" s="1">
        <v>-4</v>
      </c>
      <c r="B10" s="1">
        <f t="shared" si="0"/>
        <v>-5.2291489669088955</v>
      </c>
      <c r="C10" s="1">
        <f t="shared" si="1"/>
        <v>2</v>
      </c>
    </row>
    <row r="11" spans="1:3" x14ac:dyDescent="0.3">
      <c r="A11" s="1">
        <v>-3</v>
      </c>
      <c r="B11" s="1">
        <f t="shared" si="0"/>
        <v>-7.9199399728035633</v>
      </c>
      <c r="C11" s="1">
        <f t="shared" si="1"/>
        <v>3</v>
      </c>
    </row>
    <row r="12" spans="1:3" x14ac:dyDescent="0.3">
      <c r="A12" s="1">
        <v>-2</v>
      </c>
      <c r="B12" s="1">
        <f t="shared" si="0"/>
        <v>-3.3291746923771393</v>
      </c>
      <c r="C12" s="1">
        <f t="shared" si="1"/>
        <v>4</v>
      </c>
    </row>
    <row r="13" spans="1:3" x14ac:dyDescent="0.3">
      <c r="A13" s="1">
        <v>-1</v>
      </c>
      <c r="B13" s="1">
        <f t="shared" si="0"/>
        <v>4.3224184469451181</v>
      </c>
      <c r="C13" s="1">
        <f t="shared" si="1"/>
        <v>5</v>
      </c>
    </row>
    <row r="14" spans="1:3" x14ac:dyDescent="0.3">
      <c r="A14" s="1">
        <v>0</v>
      </c>
      <c r="B14" s="1">
        <f t="shared" si="0"/>
        <v>8</v>
      </c>
      <c r="C14" s="1">
        <f t="shared" si="1"/>
        <v>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226C1-8612-49E8-8FB1-A0B3C1332FCC}">
  <dimension ref="A1:C16"/>
  <sheetViews>
    <sheetView workbookViewId="0">
      <selection activeCell="E23" sqref="E23"/>
    </sheetView>
  </sheetViews>
  <sheetFormatPr defaultRowHeight="14.4" x14ac:dyDescent="0.3"/>
  <sheetData>
    <row r="1" spans="1:3" x14ac:dyDescent="0.3">
      <c r="A1" t="s">
        <v>23</v>
      </c>
    </row>
    <row r="3" spans="1:3" x14ac:dyDescent="0.3">
      <c r="A3" s="1" t="s">
        <v>1</v>
      </c>
      <c r="B3" s="1" t="s">
        <v>9</v>
      </c>
      <c r="C3" s="1" t="s">
        <v>24</v>
      </c>
    </row>
    <row r="4" spans="1:3" x14ac:dyDescent="0.3">
      <c r="A4" s="1">
        <v>-5</v>
      </c>
      <c r="B4" s="1">
        <f>SIN(A4)</f>
        <v>0.95892427466313845</v>
      </c>
      <c r="C4" s="1">
        <f>0.2*A4</f>
        <v>-1</v>
      </c>
    </row>
    <row r="5" spans="1:3" x14ac:dyDescent="0.3">
      <c r="A5" s="1">
        <v>-4</v>
      </c>
      <c r="B5" s="1">
        <f t="shared" ref="B5:B16" si="0">SIN(A5)</f>
        <v>0.7568024953079282</v>
      </c>
      <c r="C5" s="1">
        <f t="shared" ref="C5:C16" si="1">0.2*A5</f>
        <v>-0.8</v>
      </c>
    </row>
    <row r="6" spans="1:3" x14ac:dyDescent="0.3">
      <c r="A6" s="1">
        <v>-3</v>
      </c>
      <c r="B6" s="1">
        <f t="shared" si="0"/>
        <v>-0.14112000805986721</v>
      </c>
      <c r="C6" s="1">
        <f t="shared" si="1"/>
        <v>-0.60000000000000009</v>
      </c>
    </row>
    <row r="7" spans="1:3" x14ac:dyDescent="0.3">
      <c r="A7" s="1">
        <v>-2</v>
      </c>
      <c r="B7" s="1">
        <f t="shared" si="0"/>
        <v>-0.90929742682568171</v>
      </c>
      <c r="C7" s="1">
        <f t="shared" si="1"/>
        <v>-0.4</v>
      </c>
    </row>
    <row r="8" spans="1:3" x14ac:dyDescent="0.3">
      <c r="A8" s="1">
        <v>-1</v>
      </c>
      <c r="B8" s="1">
        <f t="shared" si="0"/>
        <v>-0.8414709848078965</v>
      </c>
      <c r="C8" s="1">
        <f t="shared" si="1"/>
        <v>-0.2</v>
      </c>
    </row>
    <row r="9" spans="1:3" x14ac:dyDescent="0.3">
      <c r="A9" s="1">
        <v>0</v>
      </c>
      <c r="B9" s="1">
        <f t="shared" si="0"/>
        <v>0</v>
      </c>
      <c r="C9" s="1">
        <f t="shared" si="1"/>
        <v>0</v>
      </c>
    </row>
    <row r="10" spans="1:3" x14ac:dyDescent="0.3">
      <c r="A10" s="1">
        <v>1</v>
      </c>
      <c r="B10" s="1">
        <f t="shared" si="0"/>
        <v>0.8414709848078965</v>
      </c>
      <c r="C10" s="1">
        <f t="shared" si="1"/>
        <v>0.2</v>
      </c>
    </row>
    <row r="11" spans="1:3" x14ac:dyDescent="0.3">
      <c r="A11" s="1">
        <v>2</v>
      </c>
      <c r="B11" s="1">
        <f t="shared" si="0"/>
        <v>0.90929742682568171</v>
      </c>
      <c r="C11" s="1">
        <f t="shared" si="1"/>
        <v>0.4</v>
      </c>
    </row>
    <row r="12" spans="1:3" x14ac:dyDescent="0.3">
      <c r="A12" s="1">
        <v>3</v>
      </c>
      <c r="B12" s="1">
        <f t="shared" si="0"/>
        <v>0.14112000805986721</v>
      </c>
      <c r="C12" s="1">
        <f t="shared" si="1"/>
        <v>0.60000000000000009</v>
      </c>
    </row>
    <row r="13" spans="1:3" x14ac:dyDescent="0.3">
      <c r="A13" s="1">
        <v>4</v>
      </c>
      <c r="B13" s="1">
        <f t="shared" si="0"/>
        <v>-0.7568024953079282</v>
      </c>
      <c r="C13" s="1">
        <f t="shared" si="1"/>
        <v>0.8</v>
      </c>
    </row>
    <row r="14" spans="1:3" x14ac:dyDescent="0.3">
      <c r="A14" s="1">
        <v>5</v>
      </c>
      <c r="B14" s="1">
        <f t="shared" si="0"/>
        <v>-0.95892427466313845</v>
      </c>
      <c r="C14" s="1">
        <f t="shared" si="1"/>
        <v>1</v>
      </c>
    </row>
    <row r="15" spans="1:3" x14ac:dyDescent="0.3">
      <c r="A15" s="1">
        <v>6</v>
      </c>
      <c r="B15" s="1">
        <f t="shared" si="0"/>
        <v>-0.27941549819892586</v>
      </c>
      <c r="C15" s="1">
        <f t="shared" si="1"/>
        <v>1.2000000000000002</v>
      </c>
    </row>
    <row r="16" spans="1:3" x14ac:dyDescent="0.3">
      <c r="A16" s="1">
        <v>7</v>
      </c>
      <c r="B16" s="1">
        <f t="shared" si="0"/>
        <v>0.65698659871878906</v>
      </c>
      <c r="C16" s="1">
        <f t="shared" si="1"/>
        <v>1.4000000000000001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BEA12-160F-4C46-98D3-83B12B949D22}">
  <dimension ref="A1:C23"/>
  <sheetViews>
    <sheetView workbookViewId="0"/>
  </sheetViews>
  <sheetFormatPr defaultRowHeight="14.4" x14ac:dyDescent="0.3"/>
  <sheetData>
    <row r="1" spans="1:3" x14ac:dyDescent="0.3">
      <c r="A1" t="s">
        <v>25</v>
      </c>
    </row>
    <row r="3" spans="1:3" x14ac:dyDescent="0.3">
      <c r="A3" s="1" t="s">
        <v>1</v>
      </c>
      <c r="B3" s="1" t="s">
        <v>26</v>
      </c>
      <c r="C3" s="1" t="s">
        <v>27</v>
      </c>
    </row>
    <row r="4" spans="1:3" x14ac:dyDescent="0.3">
      <c r="A4" s="1">
        <v>-10</v>
      </c>
      <c r="B4" s="1">
        <f>10*COS(A4)</f>
        <v>-8.3907152907645237</v>
      </c>
      <c r="C4" s="1">
        <f>0.1*A4^2</f>
        <v>10</v>
      </c>
    </row>
    <row r="5" spans="1:3" x14ac:dyDescent="0.3">
      <c r="A5" s="1">
        <v>-9</v>
      </c>
      <c r="B5" s="1">
        <f t="shared" ref="B5:B23" si="0">10*COS(A5)</f>
        <v>-9.1113026188467696</v>
      </c>
      <c r="C5" s="1">
        <f t="shared" ref="C5:C23" si="1">0.1*A5^2</f>
        <v>8.1</v>
      </c>
    </row>
    <row r="6" spans="1:3" x14ac:dyDescent="0.3">
      <c r="A6" s="1">
        <v>-8</v>
      </c>
      <c r="B6" s="1">
        <f t="shared" si="0"/>
        <v>-1.4550003380861354</v>
      </c>
      <c r="C6" s="1">
        <f t="shared" si="1"/>
        <v>6.4</v>
      </c>
    </row>
    <row r="7" spans="1:3" x14ac:dyDescent="0.3">
      <c r="A7" s="1">
        <v>-7</v>
      </c>
      <c r="B7" s="1">
        <f t="shared" si="0"/>
        <v>7.5390225434330462</v>
      </c>
      <c r="C7" s="1">
        <f t="shared" si="1"/>
        <v>4.9000000000000004</v>
      </c>
    </row>
    <row r="8" spans="1:3" x14ac:dyDescent="0.3">
      <c r="A8" s="1">
        <v>-6</v>
      </c>
      <c r="B8" s="1">
        <f t="shared" si="0"/>
        <v>9.6017028665036595</v>
      </c>
      <c r="C8" s="1">
        <f t="shared" si="1"/>
        <v>3.6</v>
      </c>
    </row>
    <row r="9" spans="1:3" x14ac:dyDescent="0.3">
      <c r="A9" s="1">
        <v>-5</v>
      </c>
      <c r="B9" s="1">
        <f t="shared" si="0"/>
        <v>2.8366218546322624</v>
      </c>
      <c r="C9" s="1">
        <f t="shared" si="1"/>
        <v>2.5</v>
      </c>
    </row>
    <row r="10" spans="1:3" x14ac:dyDescent="0.3">
      <c r="A10" s="1">
        <v>-4</v>
      </c>
      <c r="B10" s="1">
        <f t="shared" si="0"/>
        <v>-6.5364362086361192</v>
      </c>
      <c r="C10" s="1">
        <f t="shared" si="1"/>
        <v>1.6</v>
      </c>
    </row>
    <row r="11" spans="1:3" x14ac:dyDescent="0.3">
      <c r="A11" s="1">
        <v>-3</v>
      </c>
      <c r="B11" s="1">
        <f t="shared" si="0"/>
        <v>-9.8999249660044537</v>
      </c>
      <c r="C11" s="1">
        <f t="shared" si="1"/>
        <v>0.9</v>
      </c>
    </row>
    <row r="12" spans="1:3" x14ac:dyDescent="0.3">
      <c r="A12" s="1">
        <v>-2</v>
      </c>
      <c r="B12" s="1">
        <f t="shared" si="0"/>
        <v>-4.161468365471424</v>
      </c>
      <c r="C12" s="1">
        <f t="shared" si="1"/>
        <v>0.4</v>
      </c>
    </row>
    <row r="13" spans="1:3" x14ac:dyDescent="0.3">
      <c r="A13" s="1">
        <v>-1</v>
      </c>
      <c r="B13" s="1">
        <f t="shared" si="0"/>
        <v>5.4030230586813977</v>
      </c>
      <c r="C13" s="1">
        <f t="shared" si="1"/>
        <v>0.1</v>
      </c>
    </row>
    <row r="14" spans="1:3" x14ac:dyDescent="0.3">
      <c r="A14" s="1">
        <v>0</v>
      </c>
      <c r="B14" s="1">
        <f t="shared" si="0"/>
        <v>10</v>
      </c>
      <c r="C14" s="1">
        <f t="shared" si="1"/>
        <v>0</v>
      </c>
    </row>
    <row r="15" spans="1:3" x14ac:dyDescent="0.3">
      <c r="A15" s="1">
        <v>1</v>
      </c>
      <c r="B15" s="1">
        <f t="shared" si="0"/>
        <v>5.4030230586813977</v>
      </c>
      <c r="C15" s="1">
        <f t="shared" si="1"/>
        <v>0.1</v>
      </c>
    </row>
    <row r="16" spans="1:3" x14ac:dyDescent="0.3">
      <c r="A16" s="1">
        <v>2</v>
      </c>
      <c r="B16" s="1">
        <f t="shared" si="0"/>
        <v>-4.161468365471424</v>
      </c>
      <c r="C16" s="1">
        <f t="shared" si="1"/>
        <v>0.4</v>
      </c>
    </row>
    <row r="17" spans="1:3" x14ac:dyDescent="0.3">
      <c r="A17" s="1">
        <v>3</v>
      </c>
      <c r="B17" s="1">
        <f t="shared" si="0"/>
        <v>-9.8999249660044537</v>
      </c>
      <c r="C17" s="1">
        <f t="shared" si="1"/>
        <v>0.9</v>
      </c>
    </row>
    <row r="18" spans="1:3" x14ac:dyDescent="0.3">
      <c r="A18" s="1">
        <v>4</v>
      </c>
      <c r="B18" s="1">
        <f t="shared" si="0"/>
        <v>-6.5364362086361192</v>
      </c>
      <c r="C18" s="1">
        <f t="shared" si="1"/>
        <v>1.6</v>
      </c>
    </row>
    <row r="19" spans="1:3" x14ac:dyDescent="0.3">
      <c r="A19" s="1">
        <v>5</v>
      </c>
      <c r="B19" s="1">
        <f t="shared" si="0"/>
        <v>2.8366218546322624</v>
      </c>
      <c r="C19" s="1">
        <f t="shared" si="1"/>
        <v>2.5</v>
      </c>
    </row>
    <row r="20" spans="1:3" x14ac:dyDescent="0.3">
      <c r="A20" s="1">
        <v>6</v>
      </c>
      <c r="B20" s="1">
        <f t="shared" si="0"/>
        <v>9.6017028665036595</v>
      </c>
      <c r="C20" s="1">
        <f t="shared" si="1"/>
        <v>3.6</v>
      </c>
    </row>
    <row r="21" spans="1:3" x14ac:dyDescent="0.3">
      <c r="A21" s="1">
        <v>7</v>
      </c>
      <c r="B21" s="1">
        <f t="shared" si="0"/>
        <v>7.5390225434330462</v>
      </c>
      <c r="C21" s="1">
        <f t="shared" si="1"/>
        <v>4.9000000000000004</v>
      </c>
    </row>
    <row r="22" spans="1:3" x14ac:dyDescent="0.3">
      <c r="A22" s="1">
        <v>8</v>
      </c>
      <c r="B22" s="1">
        <f t="shared" si="0"/>
        <v>-1.4550003380861354</v>
      </c>
      <c r="C22" s="1">
        <f t="shared" si="1"/>
        <v>6.4</v>
      </c>
    </row>
    <row r="23" spans="1:3" x14ac:dyDescent="0.3">
      <c r="A23" s="1">
        <v>9</v>
      </c>
      <c r="B23" s="1">
        <f t="shared" si="0"/>
        <v>-9.1113026188467696</v>
      </c>
      <c r="C23" s="1">
        <f t="shared" si="1"/>
        <v>8.1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BD203-FED2-4AAC-9C1D-B034AAA575FC}">
  <dimension ref="A1:C16"/>
  <sheetViews>
    <sheetView workbookViewId="0">
      <selection activeCell="P21" sqref="P21"/>
    </sheetView>
  </sheetViews>
  <sheetFormatPr defaultRowHeight="14.4" x14ac:dyDescent="0.3"/>
  <sheetData>
    <row r="1" spans="1:3" x14ac:dyDescent="0.3">
      <c r="A1" t="s">
        <v>28</v>
      </c>
    </row>
    <row r="3" spans="1:3" x14ac:dyDescent="0.3">
      <c r="A3" s="1" t="s">
        <v>1</v>
      </c>
      <c r="B3" s="1" t="s">
        <v>29</v>
      </c>
      <c r="C3" s="1" t="s">
        <v>30</v>
      </c>
    </row>
    <row r="4" spans="1:3" x14ac:dyDescent="0.3">
      <c r="A4" s="1">
        <v>-6</v>
      </c>
      <c r="B4" s="1">
        <f>2*LOG(A4+7)</f>
        <v>0</v>
      </c>
      <c r="C4" s="1">
        <f>5*SIN(A4)</f>
        <v>1.3970774909946293</v>
      </c>
    </row>
    <row r="5" spans="1:3" x14ac:dyDescent="0.3">
      <c r="A5" s="1">
        <v>-5</v>
      </c>
      <c r="B5" s="1">
        <f t="shared" ref="B5:B16" si="0">2*LOG(A5+7)</f>
        <v>0.6020599913279624</v>
      </c>
      <c r="C5" s="1">
        <f t="shared" ref="C5:C16" si="1">5*SIN(A5)</f>
        <v>4.7946213733156924</v>
      </c>
    </row>
    <row r="6" spans="1:3" x14ac:dyDescent="0.3">
      <c r="A6" s="1">
        <v>-4</v>
      </c>
      <c r="B6" s="1">
        <f t="shared" si="0"/>
        <v>0.95424250943932487</v>
      </c>
      <c r="C6" s="1">
        <f t="shared" si="1"/>
        <v>3.7840124765396412</v>
      </c>
    </row>
    <row r="7" spans="1:3" x14ac:dyDescent="0.3">
      <c r="A7" s="1">
        <v>-3</v>
      </c>
      <c r="B7" s="1">
        <f t="shared" si="0"/>
        <v>1.2041199826559248</v>
      </c>
      <c r="C7" s="1">
        <f t="shared" si="1"/>
        <v>-0.7056000402993361</v>
      </c>
    </row>
    <row r="8" spans="1:3" x14ac:dyDescent="0.3">
      <c r="A8" s="1">
        <v>-2</v>
      </c>
      <c r="B8" s="1">
        <f t="shared" si="0"/>
        <v>1.3979400086720377</v>
      </c>
      <c r="C8" s="1">
        <f t="shared" si="1"/>
        <v>-4.5464871341284088</v>
      </c>
    </row>
    <row r="9" spans="1:3" x14ac:dyDescent="0.3">
      <c r="A9" s="1">
        <v>-1</v>
      </c>
      <c r="B9" s="1">
        <f t="shared" si="0"/>
        <v>1.5563025007672873</v>
      </c>
      <c r="C9" s="1">
        <f t="shared" si="1"/>
        <v>-4.2073549240394827</v>
      </c>
    </row>
    <row r="10" spans="1:3" x14ac:dyDescent="0.3">
      <c r="A10" s="1">
        <v>0</v>
      </c>
      <c r="B10" s="1">
        <f t="shared" si="0"/>
        <v>1.6901960800285136</v>
      </c>
      <c r="C10" s="1">
        <f t="shared" si="1"/>
        <v>0</v>
      </c>
    </row>
    <row r="11" spans="1:3" x14ac:dyDescent="0.3">
      <c r="A11" s="1">
        <v>1</v>
      </c>
      <c r="B11" s="1">
        <f t="shared" si="0"/>
        <v>1.8061799739838871</v>
      </c>
      <c r="C11" s="1">
        <f t="shared" si="1"/>
        <v>4.2073549240394827</v>
      </c>
    </row>
    <row r="12" spans="1:3" x14ac:dyDescent="0.3">
      <c r="A12" s="1">
        <v>2</v>
      </c>
      <c r="B12" s="1">
        <f t="shared" si="0"/>
        <v>1.9084850188786497</v>
      </c>
      <c r="C12" s="1">
        <f t="shared" si="1"/>
        <v>4.5464871341284088</v>
      </c>
    </row>
    <row r="13" spans="1:3" x14ac:dyDescent="0.3">
      <c r="A13" s="1">
        <v>3</v>
      </c>
      <c r="B13" s="1">
        <f t="shared" si="0"/>
        <v>2</v>
      </c>
      <c r="C13" s="1">
        <f t="shared" si="1"/>
        <v>0.7056000402993361</v>
      </c>
    </row>
    <row r="14" spans="1:3" x14ac:dyDescent="0.3">
      <c r="A14" s="1">
        <v>4</v>
      </c>
      <c r="B14" s="1">
        <f t="shared" si="0"/>
        <v>2.0827853703164503</v>
      </c>
      <c r="C14" s="1">
        <f t="shared" si="1"/>
        <v>-3.7840124765396412</v>
      </c>
    </row>
    <row r="15" spans="1:3" x14ac:dyDescent="0.3">
      <c r="A15" s="1">
        <v>5</v>
      </c>
      <c r="B15" s="1">
        <f t="shared" si="0"/>
        <v>2.1583624920952498</v>
      </c>
      <c r="C15" s="1">
        <f t="shared" si="1"/>
        <v>-4.7946213733156924</v>
      </c>
    </row>
    <row r="16" spans="1:3" x14ac:dyDescent="0.3">
      <c r="A16" s="1">
        <v>6</v>
      </c>
      <c r="B16" s="1">
        <f t="shared" si="0"/>
        <v>2.2278867046136734</v>
      </c>
      <c r="C16" s="1">
        <f t="shared" si="1"/>
        <v>-1.3970774909946293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70E6F-83A9-4F63-B57A-A79C8616E32B}">
  <dimension ref="A1:C14"/>
  <sheetViews>
    <sheetView workbookViewId="0">
      <selection activeCell="Q14" sqref="Q14"/>
    </sheetView>
  </sheetViews>
  <sheetFormatPr defaultRowHeight="14.4" x14ac:dyDescent="0.3"/>
  <sheetData>
    <row r="1" spans="1:3" x14ac:dyDescent="0.3">
      <c r="A1" t="s">
        <v>31</v>
      </c>
    </row>
    <row r="3" spans="1:3" x14ac:dyDescent="0.3">
      <c r="A3" s="1" t="s">
        <v>1</v>
      </c>
      <c r="B3" s="1" t="s">
        <v>32</v>
      </c>
      <c r="C3" s="4" t="s">
        <v>33</v>
      </c>
    </row>
    <row r="4" spans="1:3" x14ac:dyDescent="0.3">
      <c r="A4" s="1">
        <v>-5</v>
      </c>
      <c r="B4" s="1">
        <f>4*COS(A4)</f>
        <v>1.134648741852905</v>
      </c>
      <c r="C4" s="1">
        <f>-0.3*A4</f>
        <v>1.5</v>
      </c>
    </row>
    <row r="5" spans="1:3" x14ac:dyDescent="0.3">
      <c r="A5" s="1">
        <v>-4</v>
      </c>
      <c r="B5" s="1">
        <f t="shared" ref="B5:B14" si="0">4*COS(A5)</f>
        <v>-2.6145744834544478</v>
      </c>
      <c r="C5" s="1">
        <f t="shared" ref="C5:C14" si="1">-0.3*A5</f>
        <v>1.2</v>
      </c>
    </row>
    <row r="6" spans="1:3" x14ac:dyDescent="0.3">
      <c r="A6" s="1">
        <v>-3</v>
      </c>
      <c r="B6" s="1">
        <f t="shared" si="0"/>
        <v>-3.9599699864017817</v>
      </c>
      <c r="C6" s="1">
        <f t="shared" si="1"/>
        <v>0.89999999999999991</v>
      </c>
    </row>
    <row r="7" spans="1:3" x14ac:dyDescent="0.3">
      <c r="A7" s="1">
        <v>-2</v>
      </c>
      <c r="B7" s="1">
        <f t="shared" si="0"/>
        <v>-1.6645873461885696</v>
      </c>
      <c r="C7" s="1">
        <f t="shared" si="1"/>
        <v>0.6</v>
      </c>
    </row>
    <row r="8" spans="1:3" x14ac:dyDescent="0.3">
      <c r="A8" s="1">
        <v>-1</v>
      </c>
      <c r="B8" s="1">
        <f t="shared" si="0"/>
        <v>2.1612092234725591</v>
      </c>
      <c r="C8" s="1">
        <f t="shared" si="1"/>
        <v>0.3</v>
      </c>
    </row>
    <row r="9" spans="1:3" x14ac:dyDescent="0.3">
      <c r="A9" s="1">
        <v>0</v>
      </c>
      <c r="B9" s="1">
        <f t="shared" si="0"/>
        <v>4</v>
      </c>
      <c r="C9" s="1">
        <f t="shared" si="1"/>
        <v>0</v>
      </c>
    </row>
    <row r="10" spans="1:3" x14ac:dyDescent="0.3">
      <c r="A10" s="1">
        <v>1</v>
      </c>
      <c r="B10" s="1">
        <f t="shared" si="0"/>
        <v>2.1612092234725591</v>
      </c>
      <c r="C10" s="1">
        <f t="shared" si="1"/>
        <v>-0.3</v>
      </c>
    </row>
    <row r="11" spans="1:3" x14ac:dyDescent="0.3">
      <c r="A11" s="1">
        <v>2</v>
      </c>
      <c r="B11" s="1">
        <f t="shared" si="0"/>
        <v>-1.6645873461885696</v>
      </c>
      <c r="C11" s="1">
        <f t="shared" si="1"/>
        <v>-0.6</v>
      </c>
    </row>
    <row r="12" spans="1:3" x14ac:dyDescent="0.3">
      <c r="A12" s="1">
        <v>3</v>
      </c>
      <c r="B12" s="1">
        <f t="shared" si="0"/>
        <v>-3.9599699864017817</v>
      </c>
      <c r="C12" s="1">
        <f t="shared" si="1"/>
        <v>-0.89999999999999991</v>
      </c>
    </row>
    <row r="13" spans="1:3" x14ac:dyDescent="0.3">
      <c r="A13" s="1">
        <v>4</v>
      </c>
      <c r="B13" s="1">
        <f t="shared" si="0"/>
        <v>-2.6145744834544478</v>
      </c>
      <c r="C13" s="1">
        <f t="shared" si="1"/>
        <v>-1.2</v>
      </c>
    </row>
    <row r="14" spans="1:3" x14ac:dyDescent="0.3">
      <c r="A14" s="1">
        <v>5</v>
      </c>
      <c r="B14" s="1">
        <f t="shared" si="0"/>
        <v>1.134648741852905</v>
      </c>
      <c r="C14" s="1">
        <f t="shared" si="1"/>
        <v>-1.5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C96A-B980-4003-A899-0824B717C5BC}">
  <dimension ref="A1:C14"/>
  <sheetViews>
    <sheetView workbookViewId="0">
      <selection activeCell="P13" sqref="P13"/>
    </sheetView>
  </sheetViews>
  <sheetFormatPr defaultRowHeight="14.4" x14ac:dyDescent="0.3"/>
  <sheetData>
    <row r="1" spans="1:3" x14ac:dyDescent="0.3">
      <c r="A1" t="s">
        <v>34</v>
      </c>
    </row>
    <row r="3" spans="1:3" x14ac:dyDescent="0.3">
      <c r="A3" s="1" t="s">
        <v>1</v>
      </c>
      <c r="B3" s="1" t="s">
        <v>35</v>
      </c>
      <c r="C3" s="1" t="s">
        <v>36</v>
      </c>
    </row>
    <row r="4" spans="1:3" x14ac:dyDescent="0.3">
      <c r="A4" s="1">
        <v>-5</v>
      </c>
      <c r="B4" s="1">
        <f>SQRT(1-A4)</f>
        <v>2.4494897427831779</v>
      </c>
      <c r="C4" s="1">
        <f>5*SIN(2*A4)</f>
        <v>2.7201055544468487</v>
      </c>
    </row>
    <row r="5" spans="1:3" x14ac:dyDescent="0.3">
      <c r="A5" s="1">
        <v>-4</v>
      </c>
      <c r="B5" s="1">
        <f t="shared" ref="B5:B14" si="0">SQRT(1-A5)</f>
        <v>2.2360679774997898</v>
      </c>
      <c r="C5" s="1">
        <f t="shared" ref="C5:C14" si="1">5*SIN(2*A5)</f>
        <v>-4.946791233116909</v>
      </c>
    </row>
    <row r="6" spans="1:3" x14ac:dyDescent="0.3">
      <c r="A6" s="1">
        <v>-3</v>
      </c>
      <c r="B6" s="1">
        <f t="shared" si="0"/>
        <v>2</v>
      </c>
      <c r="C6" s="1">
        <f t="shared" si="1"/>
        <v>1.3970774909946293</v>
      </c>
    </row>
    <row r="7" spans="1:3" x14ac:dyDescent="0.3">
      <c r="A7" s="1">
        <v>-2</v>
      </c>
      <c r="B7" s="1">
        <f t="shared" si="0"/>
        <v>1.7320508075688772</v>
      </c>
      <c r="C7" s="1">
        <f t="shared" si="1"/>
        <v>3.7840124765396412</v>
      </c>
    </row>
    <row r="8" spans="1:3" x14ac:dyDescent="0.3">
      <c r="A8" s="1">
        <v>-1</v>
      </c>
      <c r="B8" s="1">
        <f t="shared" si="0"/>
        <v>1.4142135623730951</v>
      </c>
      <c r="C8" s="1">
        <f t="shared" si="1"/>
        <v>-4.5464871341284088</v>
      </c>
    </row>
    <row r="9" spans="1:3" x14ac:dyDescent="0.3">
      <c r="A9" s="1">
        <v>0</v>
      </c>
      <c r="B9" s="1">
        <f t="shared" si="0"/>
        <v>1</v>
      </c>
      <c r="C9" s="1">
        <f t="shared" si="1"/>
        <v>0</v>
      </c>
    </row>
    <row r="10" spans="1:3" x14ac:dyDescent="0.3">
      <c r="A10" s="1">
        <v>1</v>
      </c>
      <c r="B10" s="1">
        <f t="shared" si="0"/>
        <v>0</v>
      </c>
      <c r="C10" s="1">
        <f t="shared" si="1"/>
        <v>4.5464871341284088</v>
      </c>
    </row>
    <row r="11" spans="1:3" x14ac:dyDescent="0.3">
      <c r="A11" s="1">
        <v>2</v>
      </c>
      <c r="B11" s="1" t="e">
        <f t="shared" si="0"/>
        <v>#NUM!</v>
      </c>
      <c r="C11" s="1">
        <f t="shared" si="1"/>
        <v>-3.7840124765396412</v>
      </c>
    </row>
    <row r="12" spans="1:3" x14ac:dyDescent="0.3">
      <c r="A12" s="1">
        <v>3</v>
      </c>
      <c r="B12" s="1" t="e">
        <f t="shared" si="0"/>
        <v>#NUM!</v>
      </c>
      <c r="C12" s="1">
        <f t="shared" si="1"/>
        <v>-1.3970774909946293</v>
      </c>
    </row>
    <row r="13" spans="1:3" x14ac:dyDescent="0.3">
      <c r="A13" s="1">
        <v>4</v>
      </c>
      <c r="B13" s="1" t="e">
        <f t="shared" si="0"/>
        <v>#NUM!</v>
      </c>
      <c r="C13" s="1">
        <f t="shared" si="1"/>
        <v>4.946791233116909</v>
      </c>
    </row>
    <row r="14" spans="1:3" x14ac:dyDescent="0.3">
      <c r="A14" s="1">
        <v>5</v>
      </c>
      <c r="B14" s="1" t="e">
        <f t="shared" si="0"/>
        <v>#NUM!</v>
      </c>
      <c r="C14" s="1">
        <f t="shared" si="1"/>
        <v>-2.7201055544468487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BFA18-767E-4707-865B-0E646A04EFCD}">
  <dimension ref="A1:C17"/>
  <sheetViews>
    <sheetView workbookViewId="0">
      <selection activeCell="Q13" sqref="Q13"/>
    </sheetView>
  </sheetViews>
  <sheetFormatPr defaultRowHeight="14.4" x14ac:dyDescent="0.3"/>
  <sheetData>
    <row r="1" spans="1:3" ht="16.2" x14ac:dyDescent="0.3">
      <c r="A1" t="s">
        <v>37</v>
      </c>
    </row>
    <row r="3" spans="1:3" x14ac:dyDescent="0.3">
      <c r="A3" t="s">
        <v>1</v>
      </c>
      <c r="B3" t="s">
        <v>38</v>
      </c>
      <c r="C3" t="s">
        <v>11</v>
      </c>
    </row>
    <row r="4" spans="1:3" x14ac:dyDescent="0.3">
      <c r="A4">
        <v>-3</v>
      </c>
      <c r="B4">
        <f>2*A4^2-5</f>
        <v>13</v>
      </c>
      <c r="C4">
        <f>2^A4</f>
        <v>0.125</v>
      </c>
    </row>
    <row r="5" spans="1:3" x14ac:dyDescent="0.3">
      <c r="A5">
        <v>-2</v>
      </c>
      <c r="B5">
        <f t="shared" ref="B5:B17" si="0">2*A5^2-5</f>
        <v>3</v>
      </c>
      <c r="C5">
        <f t="shared" ref="C5:C17" si="1">2^A5</f>
        <v>0.25</v>
      </c>
    </row>
    <row r="6" spans="1:3" x14ac:dyDescent="0.3">
      <c r="A6">
        <v>-1</v>
      </c>
      <c r="B6">
        <f t="shared" si="0"/>
        <v>-3</v>
      </c>
      <c r="C6">
        <f t="shared" si="1"/>
        <v>0.5</v>
      </c>
    </row>
    <row r="7" spans="1:3" x14ac:dyDescent="0.3">
      <c r="A7">
        <v>0</v>
      </c>
      <c r="B7">
        <f t="shared" si="0"/>
        <v>-5</v>
      </c>
      <c r="C7">
        <f t="shared" si="1"/>
        <v>1</v>
      </c>
    </row>
    <row r="8" spans="1:3" x14ac:dyDescent="0.3">
      <c r="A8">
        <v>1</v>
      </c>
      <c r="B8">
        <f t="shared" si="0"/>
        <v>-3</v>
      </c>
      <c r="C8">
        <f t="shared" si="1"/>
        <v>2</v>
      </c>
    </row>
    <row r="9" spans="1:3" x14ac:dyDescent="0.3">
      <c r="A9">
        <v>2</v>
      </c>
      <c r="B9">
        <f t="shared" si="0"/>
        <v>3</v>
      </c>
      <c r="C9">
        <f t="shared" si="1"/>
        <v>4</v>
      </c>
    </row>
    <row r="10" spans="1:3" x14ac:dyDescent="0.3">
      <c r="A10">
        <v>3</v>
      </c>
      <c r="B10">
        <f t="shared" si="0"/>
        <v>13</v>
      </c>
      <c r="C10">
        <f t="shared" si="1"/>
        <v>8</v>
      </c>
    </row>
    <row r="11" spans="1:3" x14ac:dyDescent="0.3">
      <c r="A11">
        <v>4</v>
      </c>
      <c r="B11">
        <f t="shared" si="0"/>
        <v>27</v>
      </c>
      <c r="C11">
        <f t="shared" si="1"/>
        <v>16</v>
      </c>
    </row>
    <row r="12" spans="1:3" x14ac:dyDescent="0.3">
      <c r="A12">
        <v>5</v>
      </c>
      <c r="B12">
        <f t="shared" si="0"/>
        <v>45</v>
      </c>
      <c r="C12">
        <f t="shared" si="1"/>
        <v>32</v>
      </c>
    </row>
    <row r="13" spans="1:3" x14ac:dyDescent="0.3">
      <c r="A13">
        <v>6</v>
      </c>
      <c r="B13">
        <f t="shared" si="0"/>
        <v>67</v>
      </c>
      <c r="C13">
        <f t="shared" si="1"/>
        <v>64</v>
      </c>
    </row>
    <row r="14" spans="1:3" x14ac:dyDescent="0.3">
      <c r="A14">
        <v>7</v>
      </c>
      <c r="B14">
        <f t="shared" si="0"/>
        <v>93</v>
      </c>
      <c r="C14">
        <f t="shared" si="1"/>
        <v>128</v>
      </c>
    </row>
    <row r="15" spans="1:3" x14ac:dyDescent="0.3">
      <c r="A15">
        <v>8</v>
      </c>
      <c r="B15">
        <f t="shared" si="0"/>
        <v>123</v>
      </c>
      <c r="C15">
        <f t="shared" si="1"/>
        <v>256</v>
      </c>
    </row>
    <row r="16" spans="1:3" x14ac:dyDescent="0.3">
      <c r="A16">
        <v>9</v>
      </c>
      <c r="B16">
        <f t="shared" si="0"/>
        <v>157</v>
      </c>
      <c r="C16">
        <f t="shared" si="1"/>
        <v>512</v>
      </c>
    </row>
    <row r="17" spans="1:3" x14ac:dyDescent="0.3">
      <c r="A17">
        <v>10</v>
      </c>
      <c r="B17">
        <f t="shared" si="0"/>
        <v>195</v>
      </c>
      <c r="C17">
        <f t="shared" si="1"/>
        <v>1024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5217-D11C-45FB-A504-6700479BB241}">
  <dimension ref="A1:C18"/>
  <sheetViews>
    <sheetView tabSelected="1" workbookViewId="0">
      <selection activeCell="Q11" sqref="Q11"/>
    </sheetView>
  </sheetViews>
  <sheetFormatPr defaultRowHeight="14.4" x14ac:dyDescent="0.3"/>
  <sheetData>
    <row r="1" spans="1:3" ht="16.2" x14ac:dyDescent="0.3">
      <c r="A1" t="s">
        <v>39</v>
      </c>
    </row>
    <row r="3" spans="1:3" x14ac:dyDescent="0.3">
      <c r="A3" t="s">
        <v>1</v>
      </c>
      <c r="B3" t="s">
        <v>40</v>
      </c>
      <c r="C3" t="s">
        <v>8</v>
      </c>
    </row>
    <row r="4" spans="1:3" x14ac:dyDescent="0.3">
      <c r="A4">
        <v>-4</v>
      </c>
      <c r="B4">
        <f>10-0.5*A4^2</f>
        <v>2</v>
      </c>
      <c r="C4">
        <f>2^-A4</f>
        <v>16</v>
      </c>
    </row>
    <row r="5" spans="1:3" x14ac:dyDescent="0.3">
      <c r="A5">
        <v>-3</v>
      </c>
      <c r="B5">
        <f t="shared" ref="B5:B18" si="0">10-0.5*A5^2</f>
        <v>5.5</v>
      </c>
      <c r="C5">
        <f t="shared" ref="C5:C18" si="1">2^-A5</f>
        <v>8</v>
      </c>
    </row>
    <row r="6" spans="1:3" x14ac:dyDescent="0.3">
      <c r="A6">
        <v>-2</v>
      </c>
      <c r="B6">
        <f t="shared" si="0"/>
        <v>8</v>
      </c>
      <c r="C6">
        <f t="shared" si="1"/>
        <v>4</v>
      </c>
    </row>
    <row r="7" spans="1:3" x14ac:dyDescent="0.3">
      <c r="A7">
        <v>-1</v>
      </c>
      <c r="B7">
        <f t="shared" si="0"/>
        <v>9.5</v>
      </c>
      <c r="C7">
        <f t="shared" si="1"/>
        <v>2</v>
      </c>
    </row>
    <row r="8" spans="1:3" x14ac:dyDescent="0.3">
      <c r="A8">
        <v>0</v>
      </c>
      <c r="B8">
        <f t="shared" si="0"/>
        <v>10</v>
      </c>
      <c r="C8">
        <f t="shared" si="1"/>
        <v>1</v>
      </c>
    </row>
    <row r="9" spans="1:3" x14ac:dyDescent="0.3">
      <c r="A9">
        <v>1</v>
      </c>
      <c r="B9">
        <f t="shared" si="0"/>
        <v>9.5</v>
      </c>
      <c r="C9">
        <f t="shared" si="1"/>
        <v>0.5</v>
      </c>
    </row>
    <row r="10" spans="1:3" x14ac:dyDescent="0.3">
      <c r="A10">
        <v>2</v>
      </c>
      <c r="B10">
        <f t="shared" si="0"/>
        <v>8</v>
      </c>
      <c r="C10">
        <f t="shared" si="1"/>
        <v>0.25</v>
      </c>
    </row>
    <row r="11" spans="1:3" x14ac:dyDescent="0.3">
      <c r="A11">
        <v>3</v>
      </c>
      <c r="B11">
        <f t="shared" si="0"/>
        <v>5.5</v>
      </c>
      <c r="C11">
        <f t="shared" si="1"/>
        <v>0.125</v>
      </c>
    </row>
    <row r="12" spans="1:3" x14ac:dyDescent="0.3">
      <c r="A12">
        <v>4</v>
      </c>
      <c r="B12">
        <f t="shared" si="0"/>
        <v>2</v>
      </c>
      <c r="C12">
        <f t="shared" si="1"/>
        <v>6.25E-2</v>
      </c>
    </row>
    <row r="13" spans="1:3" x14ac:dyDescent="0.3">
      <c r="A13">
        <v>5</v>
      </c>
      <c r="B13">
        <f t="shared" si="0"/>
        <v>-2.5</v>
      </c>
      <c r="C13">
        <f t="shared" si="1"/>
        <v>3.125E-2</v>
      </c>
    </row>
    <row r="14" spans="1:3" x14ac:dyDescent="0.3">
      <c r="A14">
        <v>6</v>
      </c>
      <c r="B14">
        <f t="shared" si="0"/>
        <v>-8</v>
      </c>
      <c r="C14">
        <f t="shared" si="1"/>
        <v>1.5625E-2</v>
      </c>
    </row>
    <row r="15" spans="1:3" x14ac:dyDescent="0.3">
      <c r="A15">
        <v>7</v>
      </c>
      <c r="B15">
        <f t="shared" si="0"/>
        <v>-14.5</v>
      </c>
      <c r="C15">
        <f t="shared" si="1"/>
        <v>7.8125E-3</v>
      </c>
    </row>
    <row r="16" spans="1:3" x14ac:dyDescent="0.3">
      <c r="A16">
        <v>8</v>
      </c>
      <c r="B16">
        <f t="shared" si="0"/>
        <v>-22</v>
      </c>
      <c r="C16">
        <f t="shared" si="1"/>
        <v>3.90625E-3</v>
      </c>
    </row>
    <row r="17" spans="1:3" x14ac:dyDescent="0.3">
      <c r="A17">
        <v>9</v>
      </c>
      <c r="B17">
        <f t="shared" si="0"/>
        <v>-30.5</v>
      </c>
      <c r="C17">
        <f t="shared" si="1"/>
        <v>1.953125E-3</v>
      </c>
    </row>
    <row r="18" spans="1:3" x14ac:dyDescent="0.3">
      <c r="A18">
        <v>10</v>
      </c>
      <c r="B18">
        <f t="shared" si="0"/>
        <v>-40</v>
      </c>
      <c r="C18">
        <f t="shared" si="1"/>
        <v>9.765625E-4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Лист1</vt:lpstr>
      <vt:lpstr>Лист2</vt:lpstr>
      <vt:lpstr>Лист3</vt:lpstr>
      <vt:lpstr>Лист4</vt:lpstr>
      <vt:lpstr>Лист5</vt:lpstr>
      <vt:lpstr>Лист6</vt:lpstr>
      <vt:lpstr>Лист7</vt:lpstr>
      <vt:lpstr>Лист8</vt:lpstr>
      <vt:lpstr>Лист9</vt:lpstr>
      <vt:lpstr>Лист10</vt:lpstr>
      <vt:lpstr>Лист11</vt:lpstr>
      <vt:lpstr>Лист12</vt:lpstr>
      <vt:lpstr>Лист13</vt:lpstr>
      <vt:lpstr>Лист14</vt:lpstr>
      <vt:lpstr>Лист15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Student02</dc:creator>
  <cp:lastModifiedBy>diyorbek umarov</cp:lastModifiedBy>
  <dcterms:created xsi:type="dcterms:W3CDTF">2026-10-08T06:27:41Z</dcterms:created>
  <dcterms:modified xsi:type="dcterms:W3CDTF">2026-10-14T19:03:30Z</dcterms:modified>
</cp:coreProperties>
</file>