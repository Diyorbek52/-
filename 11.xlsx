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480" yWindow="105" windowWidth="27795" windowHeight="12600" activeTab="7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</sheets>
  <calcPr calcId="145621"/>
</workbook>
</file>

<file path=xl/calcChain.xml><?xml version="1.0" encoding="utf-8"?>
<calcChain xmlns="http://schemas.openxmlformats.org/spreadsheetml/2006/main">
  <c r="C5" i="8" l="1"/>
  <c r="C6" i="8"/>
  <c r="C7" i="8"/>
  <c r="C8" i="8"/>
  <c r="C9" i="8"/>
  <c r="C10" i="8"/>
  <c r="C11" i="8"/>
  <c r="C12" i="8"/>
  <c r="C13" i="8"/>
  <c r="C14" i="8"/>
  <c r="C4" i="8"/>
  <c r="B5" i="8"/>
  <c r="B6" i="8"/>
  <c r="B7" i="8"/>
  <c r="B8" i="8"/>
  <c r="B9" i="8"/>
  <c r="B10" i="8"/>
  <c r="B11" i="8"/>
  <c r="B12" i="8"/>
  <c r="B13" i="8"/>
  <c r="B14" i="8"/>
  <c r="B4" i="8"/>
  <c r="B5" i="7"/>
  <c r="B6" i="7"/>
  <c r="B7" i="7"/>
  <c r="B8" i="7"/>
  <c r="B9" i="7"/>
  <c r="B10" i="7"/>
  <c r="B11" i="7"/>
  <c r="B12" i="7"/>
  <c r="B13" i="7"/>
  <c r="B4" i="7"/>
  <c r="B4" i="6"/>
  <c r="C5" i="6"/>
  <c r="C6" i="6"/>
  <c r="C7" i="6"/>
  <c r="C8" i="6"/>
  <c r="C9" i="6"/>
  <c r="C10" i="6"/>
  <c r="C11" i="6"/>
  <c r="C12" i="6"/>
  <c r="C13" i="6"/>
  <c r="C14" i="6"/>
  <c r="C4" i="6"/>
  <c r="B5" i="6"/>
  <c r="B6" i="6"/>
  <c r="B7" i="6"/>
  <c r="B8" i="6"/>
  <c r="B9" i="6"/>
  <c r="B10" i="6"/>
  <c r="B11" i="6"/>
  <c r="B12" i="6"/>
  <c r="B13" i="6"/>
  <c r="B14" i="6"/>
  <c r="B14" i="5"/>
  <c r="C5" i="5"/>
  <c r="C6" i="5"/>
  <c r="C7" i="5"/>
  <c r="C8" i="5"/>
  <c r="C9" i="5"/>
  <c r="C10" i="5"/>
  <c r="C11" i="5"/>
  <c r="C12" i="5"/>
  <c r="C13" i="5"/>
  <c r="C14" i="5"/>
  <c r="C4" i="5"/>
  <c r="B5" i="5"/>
  <c r="B6" i="5"/>
  <c r="B7" i="5"/>
  <c r="B8" i="5"/>
  <c r="B9" i="5"/>
  <c r="B10" i="5"/>
  <c r="B11" i="5"/>
  <c r="B12" i="5"/>
  <c r="B13" i="5"/>
  <c r="B4" i="5"/>
  <c r="C5" i="4"/>
  <c r="C6" i="4"/>
  <c r="C7" i="4"/>
  <c r="C8" i="4"/>
  <c r="C9" i="4"/>
  <c r="C10" i="4"/>
  <c r="C11" i="4"/>
  <c r="C12" i="4"/>
  <c r="C13" i="4"/>
  <c r="C14" i="4"/>
  <c r="C4" i="4"/>
  <c r="B5" i="4"/>
  <c r="B6" i="4"/>
  <c r="B7" i="4"/>
  <c r="B8" i="4"/>
  <c r="B9" i="4"/>
  <c r="B10" i="4"/>
  <c r="B11" i="4"/>
  <c r="B12" i="4"/>
  <c r="B13" i="4"/>
  <c r="B14" i="4"/>
  <c r="B4" i="4"/>
  <c r="C15" i="3"/>
  <c r="C16" i="3"/>
  <c r="C17" i="3"/>
  <c r="C5" i="3"/>
  <c r="B15" i="3"/>
  <c r="B16" i="3"/>
  <c r="B17" i="3"/>
  <c r="C6" i="3"/>
  <c r="C7" i="3"/>
  <c r="C8" i="3"/>
  <c r="C9" i="3"/>
  <c r="C10" i="3"/>
  <c r="C11" i="3"/>
  <c r="C12" i="3"/>
  <c r="C13" i="3"/>
  <c r="C14" i="3"/>
  <c r="C4" i="3"/>
  <c r="B5" i="3"/>
  <c r="B6" i="3"/>
  <c r="B7" i="3"/>
  <c r="B8" i="3"/>
  <c r="B9" i="3"/>
  <c r="B10" i="3"/>
  <c r="B11" i="3"/>
  <c r="B12" i="3"/>
  <c r="B13" i="3"/>
  <c r="B14" i="3"/>
  <c r="B4" i="3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C25" i="2"/>
  <c r="C26" i="2"/>
  <c r="C15" i="2"/>
  <c r="C16" i="2"/>
  <c r="C17" i="2"/>
  <c r="C18" i="2"/>
  <c r="C19" i="2"/>
  <c r="C20" i="2"/>
  <c r="C21" i="2"/>
  <c r="C22" i="2"/>
  <c r="C23" i="2"/>
  <c r="C24" i="2"/>
  <c r="C4" i="2"/>
  <c r="C5" i="2"/>
  <c r="C6" i="2"/>
  <c r="C7" i="2"/>
  <c r="C8" i="2"/>
  <c r="C9" i="2"/>
  <c r="C10" i="2"/>
  <c r="C11" i="2"/>
  <c r="C12" i="2"/>
  <c r="C13" i="2"/>
  <c r="C14" i="2"/>
  <c r="B5" i="2"/>
  <c r="B6" i="2"/>
  <c r="B4" i="2"/>
  <c r="C5" i="1"/>
  <c r="C6" i="1"/>
  <c r="C7" i="1"/>
  <c r="C8" i="1"/>
  <c r="C9" i="1"/>
  <c r="C10" i="1"/>
  <c r="C11" i="1"/>
  <c r="C12" i="1"/>
  <c r="C13" i="1"/>
  <c r="C14" i="1"/>
  <c r="C4" i="1"/>
  <c r="B5" i="1"/>
  <c r="B6" i="1"/>
  <c r="B7" i="1"/>
  <c r="B8" i="1"/>
  <c r="B9" i="1"/>
  <c r="B10" i="1"/>
  <c r="B11" i="1"/>
  <c r="B12" i="1"/>
  <c r="B13" i="1"/>
  <c r="B14" i="1"/>
  <c r="B4" i="1"/>
</calcChain>
</file>

<file path=xl/sharedStrings.xml><?xml version="1.0" encoding="utf-8"?>
<sst xmlns="http://schemas.openxmlformats.org/spreadsheetml/2006/main" count="32" uniqueCount="23">
  <si>
    <r>
      <t>Найти корни уравнения (0,2x)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-cosx=y</t>
    </r>
  </si>
  <si>
    <t>x</t>
  </si>
  <si>
    <t xml:space="preserve"> (0,2*x)^3</t>
  </si>
  <si>
    <t>cosx</t>
  </si>
  <si>
    <t>x=2</t>
  </si>
  <si>
    <t>Найти корни уравнения (x-10sinx)=0</t>
  </si>
  <si>
    <t>10*sinx</t>
  </si>
  <si>
    <r>
      <t>Найти корни уравнения 2</t>
    </r>
    <r>
      <rPr>
        <vertAlign val="superscript"/>
        <sz val="11"/>
        <color theme="1"/>
        <rFont val="Calibri"/>
        <family val="2"/>
        <charset val="204"/>
        <scheme val="minor"/>
      </rPr>
      <t>-x</t>
    </r>
    <r>
      <rPr>
        <sz val="11"/>
        <color theme="1"/>
        <rFont val="Calibri"/>
        <family val="2"/>
        <charset val="204"/>
        <scheme val="minor"/>
      </rPr>
      <t>=sinx</t>
    </r>
  </si>
  <si>
    <t>2^-x</t>
  </si>
  <si>
    <t>sinx</t>
  </si>
  <si>
    <r>
      <t>Найти корни уравнения 2</t>
    </r>
    <r>
      <rPr>
        <vertAlign val="superscript"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-2cosx=0</t>
    </r>
  </si>
  <si>
    <t>2^x</t>
  </si>
  <si>
    <t>2cosx</t>
  </si>
  <si>
    <t>Найти корни уравнения lg(x+5)=cosx</t>
  </si>
  <si>
    <t>lg(x+5)</t>
  </si>
  <si>
    <t>Найти корни уравнения √4x+7=3cosx</t>
  </si>
  <si>
    <t>√4x+7</t>
  </si>
  <si>
    <t>3cosx</t>
  </si>
  <si>
    <t>Найти корни уравнения xsinx-1=0</t>
  </si>
  <si>
    <t>x*sinx</t>
  </si>
  <si>
    <t>Найти корни уравнения 8cosx-x=6</t>
  </si>
  <si>
    <t>8cosx</t>
  </si>
  <si>
    <t>x+6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</si>
</sst>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 (0,2*x)^3</c:v>
                </c:pt>
              </c:strCache>
            </c:strRef>
          </c:tx>
          <c:marker>
            <c:symbol val="none"/>
          </c:marker>
          <c:xVal>
            <c:numRef>
              <c:f>Лист1!$A$4:$A$14</c:f>
              <c:numCache>
                <c:formatCode>0.00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Лист1!$B$4:$B$14</c:f>
              <c:numCache>
                <c:formatCode>0.00</c:formatCode>
                <c:ptCount val="11"/>
                <c:pt idx="0">
                  <c:v>0</c:v>
                </c:pt>
                <c:pt idx="1">
                  <c:v>8.0000000000000019E-3</c:v>
                </c:pt>
                <c:pt idx="2">
                  <c:v>6.4000000000000015E-2</c:v>
                </c:pt>
                <c:pt idx="3">
                  <c:v>0.21600000000000008</c:v>
                </c:pt>
                <c:pt idx="4">
                  <c:v>0.51200000000000012</c:v>
                </c:pt>
                <c:pt idx="5">
                  <c:v>1</c:v>
                </c:pt>
                <c:pt idx="6">
                  <c:v>1.7280000000000006</c:v>
                </c:pt>
                <c:pt idx="7">
                  <c:v>2.7440000000000007</c:v>
                </c:pt>
                <c:pt idx="8">
                  <c:v>4.096000000000001</c:v>
                </c:pt>
                <c:pt idx="9">
                  <c:v>5.8320000000000007</c:v>
                </c:pt>
                <c:pt idx="10">
                  <c:v>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Лист1!$C$3</c:f>
              <c:strCache>
                <c:ptCount val="1"/>
                <c:pt idx="0">
                  <c:v>cosx</c:v>
                </c:pt>
              </c:strCache>
            </c:strRef>
          </c:tx>
          <c:marker>
            <c:symbol val="none"/>
          </c:marker>
          <c:xVal>
            <c:numRef>
              <c:f>Лист1!$A$4:$A$14</c:f>
              <c:numCache>
                <c:formatCode>0.00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Лист1!$C$4:$C$14</c:f>
              <c:numCache>
                <c:formatCode>0.00</c:formatCode>
                <c:ptCount val="11"/>
                <c:pt idx="0">
                  <c:v>1</c:v>
                </c:pt>
                <c:pt idx="1">
                  <c:v>0.54030230586813977</c:v>
                </c:pt>
                <c:pt idx="2">
                  <c:v>-0.41614683654714241</c:v>
                </c:pt>
                <c:pt idx="3">
                  <c:v>-0.98999249660044542</c:v>
                </c:pt>
                <c:pt idx="4">
                  <c:v>-0.65364362086361194</c:v>
                </c:pt>
                <c:pt idx="5">
                  <c:v>0.28366218546322625</c:v>
                </c:pt>
                <c:pt idx="6">
                  <c:v>0.96017028665036597</c:v>
                </c:pt>
                <c:pt idx="7">
                  <c:v>0.7539022543433046</c:v>
                </c:pt>
                <c:pt idx="8">
                  <c:v>-0.14550003380861354</c:v>
                </c:pt>
                <c:pt idx="9">
                  <c:v>-0.91113026188467694</c:v>
                </c:pt>
                <c:pt idx="10">
                  <c:v>-0.83907152907645244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91136"/>
        <c:axId val="98490560"/>
      </c:scatterChart>
      <c:valAx>
        <c:axId val="9849113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98490560"/>
        <c:crosses val="autoZero"/>
        <c:crossBetween val="midCat"/>
      </c:valAx>
      <c:valAx>
        <c:axId val="984905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984911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x</c:v>
                </c:pt>
              </c:strCache>
            </c:strRef>
          </c:tx>
          <c:marker>
            <c:symbol val="none"/>
          </c:marker>
          <c:xVal>
            <c:numRef>
              <c:f>Лист2!$A$4:$A$26</c:f>
              <c:numCache>
                <c:formatCode>0.00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Лист2!$B$4:$B$26</c:f>
              <c:numCache>
                <c:formatCode>0.00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Лист2!$C$3</c:f>
              <c:strCache>
                <c:ptCount val="1"/>
                <c:pt idx="0">
                  <c:v>10*sinx</c:v>
                </c:pt>
              </c:strCache>
            </c:strRef>
          </c:tx>
          <c:marker>
            <c:symbol val="none"/>
          </c:marker>
          <c:xVal>
            <c:numRef>
              <c:f>Лист2!$A$4:$A$26</c:f>
              <c:numCache>
                <c:formatCode>0.00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Лист2!$C$4:$C$26</c:f>
              <c:numCache>
                <c:formatCode>0.00</c:formatCode>
                <c:ptCount val="23"/>
                <c:pt idx="0">
                  <c:v>0</c:v>
                </c:pt>
                <c:pt idx="1">
                  <c:v>8.4147098480789655</c:v>
                </c:pt>
                <c:pt idx="2">
                  <c:v>9.0929742682568175</c:v>
                </c:pt>
                <c:pt idx="3">
                  <c:v>1.4112000805986722</c:v>
                </c:pt>
                <c:pt idx="4">
                  <c:v>-7.5680249530792825</c:v>
                </c:pt>
                <c:pt idx="5">
                  <c:v>-9.5892427466313848</c:v>
                </c:pt>
                <c:pt idx="6">
                  <c:v>-2.7941549819892586</c:v>
                </c:pt>
                <c:pt idx="7">
                  <c:v>6.5698659871878906</c:v>
                </c:pt>
                <c:pt idx="8">
                  <c:v>9.8935824662338181</c:v>
                </c:pt>
                <c:pt idx="9">
                  <c:v>4.1211848524175663</c:v>
                </c:pt>
                <c:pt idx="10">
                  <c:v>-5.4402111088936973</c:v>
                </c:pt>
                <c:pt idx="11">
                  <c:v>-9.999902065507035</c:v>
                </c:pt>
                <c:pt idx="12">
                  <c:v>-5.3657291800043492</c:v>
                </c:pt>
                <c:pt idx="13">
                  <c:v>4.2016703682664094</c:v>
                </c:pt>
                <c:pt idx="14">
                  <c:v>9.9060735569487033</c:v>
                </c:pt>
                <c:pt idx="15">
                  <c:v>6.5028784015711683</c:v>
                </c:pt>
                <c:pt idx="16">
                  <c:v>-2.879033166650653</c:v>
                </c:pt>
                <c:pt idx="17">
                  <c:v>-9.6139749187955683</c:v>
                </c:pt>
                <c:pt idx="18">
                  <c:v>-7.509872467716761</c:v>
                </c:pt>
                <c:pt idx="19">
                  <c:v>1.4987720966295235</c:v>
                </c:pt>
                <c:pt idx="20">
                  <c:v>9.1294525072762767</c:v>
                </c:pt>
                <c:pt idx="21">
                  <c:v>8.3665563853605605</c:v>
                </c:pt>
                <c:pt idx="22">
                  <c:v>-8.8513092904038762E-2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61344"/>
        <c:axId val="157560768"/>
      </c:scatterChart>
      <c:valAx>
        <c:axId val="15756134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57560768"/>
        <c:crosses val="autoZero"/>
        <c:crossBetween val="midCat"/>
      </c:valAx>
      <c:valAx>
        <c:axId val="1575607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75613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2^-x</c:v>
                </c:pt>
              </c:strCache>
            </c:strRef>
          </c:tx>
          <c:marker>
            <c:symbol val="none"/>
          </c:marker>
          <c:xVal>
            <c:numRef>
              <c:f>Лист3!$A$4:$A$14</c:f>
              <c:numCache>
                <c:formatCode>0.00</c:formatCode>
                <c:ptCount val="1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Лист3!$B$4:$B$14</c:f>
              <c:numCache>
                <c:formatCode>0.00</c:formatCode>
                <c:ptCount val="11"/>
                <c:pt idx="0">
                  <c:v>9.765625E-4</c:v>
                </c:pt>
                <c:pt idx="1">
                  <c:v>1.953125E-3</c:v>
                </c:pt>
                <c:pt idx="2">
                  <c:v>3.90625E-3</c:v>
                </c:pt>
                <c:pt idx="3">
                  <c:v>7.8125E-3</c:v>
                </c:pt>
                <c:pt idx="4">
                  <c:v>1.5625E-2</c:v>
                </c:pt>
                <c:pt idx="5">
                  <c:v>3.125E-2</c:v>
                </c:pt>
                <c:pt idx="6">
                  <c:v>6.25E-2</c:v>
                </c:pt>
                <c:pt idx="7">
                  <c:v>0.125</c:v>
                </c:pt>
                <c:pt idx="8">
                  <c:v>0.25</c:v>
                </c:pt>
                <c:pt idx="9">
                  <c:v>0.5</c:v>
                </c:pt>
                <c:pt idx="1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Лист3!$C$3</c:f>
              <c:strCache>
                <c:ptCount val="1"/>
                <c:pt idx="0">
                  <c:v>sinx</c:v>
                </c:pt>
              </c:strCache>
            </c:strRef>
          </c:tx>
          <c:marker>
            <c:symbol val="none"/>
          </c:marker>
          <c:xVal>
            <c:numRef>
              <c:f>Лист3!$A$4:$A$14</c:f>
              <c:numCache>
                <c:formatCode>0.00</c:formatCode>
                <c:ptCount val="1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Лист3!$C$4:$C$14</c:f>
              <c:numCache>
                <c:formatCode>0.00</c:formatCode>
                <c:ptCount val="11"/>
                <c:pt idx="0">
                  <c:v>-0.54402111088936977</c:v>
                </c:pt>
                <c:pt idx="1">
                  <c:v>0.41211848524175659</c:v>
                </c:pt>
                <c:pt idx="2">
                  <c:v>0.98935824662338179</c:v>
                </c:pt>
                <c:pt idx="3">
                  <c:v>0.65698659871878906</c:v>
                </c:pt>
                <c:pt idx="4">
                  <c:v>-0.27941549819892586</c:v>
                </c:pt>
                <c:pt idx="5">
                  <c:v>-0.95892427466313845</c:v>
                </c:pt>
                <c:pt idx="6">
                  <c:v>-0.7568024953079282</c:v>
                </c:pt>
                <c:pt idx="7">
                  <c:v>0.14112000805986721</c:v>
                </c:pt>
                <c:pt idx="8">
                  <c:v>0.90929742682568171</c:v>
                </c:pt>
                <c:pt idx="9">
                  <c:v>0.8414709848078965</c:v>
                </c:pt>
                <c:pt idx="1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63648"/>
        <c:axId val="157563072"/>
      </c:scatterChart>
      <c:valAx>
        <c:axId val="15756364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57563072"/>
        <c:crosses val="autoZero"/>
        <c:crossBetween val="midCat"/>
      </c:valAx>
      <c:valAx>
        <c:axId val="1575630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7563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Лист4!$B$3</c:f>
              <c:strCache>
                <c:ptCount val="1"/>
                <c:pt idx="0">
                  <c:v>2^x</c:v>
                </c:pt>
              </c:strCache>
            </c:strRef>
          </c:tx>
          <c:marker>
            <c:symbol val="none"/>
          </c:marker>
          <c:xVal>
            <c:numRef>
              <c:f>Лист4!$A$4:$A$14</c:f>
              <c:numCache>
                <c:formatCode>0.00</c:formatCode>
                <c:ptCount val="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</c:numCache>
            </c:numRef>
          </c:xVal>
          <c:yVal>
            <c:numRef>
              <c:f>Лист4!$B$4:$B$14</c:f>
              <c:numCache>
                <c:formatCode>0.00</c:formatCode>
                <c:ptCount val="11"/>
                <c:pt idx="0">
                  <c:v>9.765625E-4</c:v>
                </c:pt>
                <c:pt idx="1">
                  <c:v>1.953125E-3</c:v>
                </c:pt>
                <c:pt idx="2">
                  <c:v>3.90625E-3</c:v>
                </c:pt>
                <c:pt idx="3">
                  <c:v>7.8125E-3</c:v>
                </c:pt>
                <c:pt idx="4">
                  <c:v>1.5625E-2</c:v>
                </c:pt>
                <c:pt idx="5">
                  <c:v>3.125E-2</c:v>
                </c:pt>
                <c:pt idx="6">
                  <c:v>6.25E-2</c:v>
                </c:pt>
                <c:pt idx="7">
                  <c:v>0.125</c:v>
                </c:pt>
                <c:pt idx="8">
                  <c:v>0.25</c:v>
                </c:pt>
                <c:pt idx="9">
                  <c:v>0.5</c:v>
                </c:pt>
                <c:pt idx="10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Лист4!$C$3</c:f>
              <c:strCache>
                <c:ptCount val="1"/>
                <c:pt idx="0">
                  <c:v>2cosx</c:v>
                </c:pt>
              </c:strCache>
            </c:strRef>
          </c:tx>
          <c:marker>
            <c:symbol val="none"/>
          </c:marker>
          <c:xVal>
            <c:numRef>
              <c:f>Лист4!$A$4:$A$14</c:f>
              <c:numCache>
                <c:formatCode>0.00</c:formatCode>
                <c:ptCount val="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</c:numCache>
            </c:numRef>
          </c:xVal>
          <c:yVal>
            <c:numRef>
              <c:f>Лист4!$C$4:$C$14</c:f>
              <c:numCache>
                <c:formatCode>0.00</c:formatCode>
                <c:ptCount val="11"/>
                <c:pt idx="0">
                  <c:v>-1.6781430581529049</c:v>
                </c:pt>
                <c:pt idx="1">
                  <c:v>-1.8222605237693539</c:v>
                </c:pt>
                <c:pt idx="2">
                  <c:v>-0.29100006761722708</c:v>
                </c:pt>
                <c:pt idx="3">
                  <c:v>1.5078045086866092</c:v>
                </c:pt>
                <c:pt idx="4">
                  <c:v>1.9203405733007319</c:v>
                </c:pt>
                <c:pt idx="5">
                  <c:v>0.56732437092645249</c:v>
                </c:pt>
                <c:pt idx="6">
                  <c:v>-1.3072872417272239</c:v>
                </c:pt>
                <c:pt idx="7">
                  <c:v>-1.9799849932008908</c:v>
                </c:pt>
                <c:pt idx="8">
                  <c:v>-0.83229367309428481</c:v>
                </c:pt>
                <c:pt idx="9">
                  <c:v>1.0806046117362795</c:v>
                </c:pt>
                <c:pt idx="10">
                  <c:v>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57408"/>
        <c:axId val="131835008"/>
      </c:scatterChart>
      <c:valAx>
        <c:axId val="17945740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31835008"/>
        <c:crosses val="autoZero"/>
        <c:crossBetween val="midCat"/>
      </c:valAx>
      <c:valAx>
        <c:axId val="1318350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794574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lg(x+5)</c:v>
                </c:pt>
              </c:strCache>
            </c:strRef>
          </c:tx>
          <c:marker>
            <c:symbol val="none"/>
          </c:marker>
          <c:xVal>
            <c:numRef>
              <c:f>Лист5!$A$4:$A$14</c:f>
              <c:numCache>
                <c:formatCode>0.00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-1</c:v>
                </c:pt>
                <c:pt idx="6">
                  <c:v>-2</c:v>
                </c:pt>
                <c:pt idx="7">
                  <c:v>-3</c:v>
                </c:pt>
                <c:pt idx="8">
                  <c:v>-4</c:v>
                </c:pt>
                <c:pt idx="9">
                  <c:v>-5</c:v>
                </c:pt>
                <c:pt idx="10">
                  <c:v>-6</c:v>
                </c:pt>
              </c:numCache>
            </c:numRef>
          </c:xVal>
          <c:yVal>
            <c:numRef>
              <c:f>Лист5!$B$4:$B$14</c:f>
              <c:numCache>
                <c:formatCode>0.00</c:formatCode>
                <c:ptCount val="11"/>
                <c:pt idx="0">
                  <c:v>0.95424250943932487</c:v>
                </c:pt>
                <c:pt idx="1">
                  <c:v>0.90308998699194354</c:v>
                </c:pt>
                <c:pt idx="2">
                  <c:v>0.84509804001425681</c:v>
                </c:pt>
                <c:pt idx="3">
                  <c:v>0.77815125038364363</c:v>
                </c:pt>
                <c:pt idx="4">
                  <c:v>0.69897000433601886</c:v>
                </c:pt>
                <c:pt idx="5">
                  <c:v>0.6020599913279624</c:v>
                </c:pt>
                <c:pt idx="6">
                  <c:v>0.47712125471966244</c:v>
                </c:pt>
                <c:pt idx="7">
                  <c:v>0.3010299956639812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Лист5!$C$3</c:f>
              <c:strCache>
                <c:ptCount val="1"/>
                <c:pt idx="0">
                  <c:v>cosx</c:v>
                </c:pt>
              </c:strCache>
            </c:strRef>
          </c:tx>
          <c:marker>
            <c:symbol val="none"/>
          </c:marker>
          <c:xVal>
            <c:numRef>
              <c:f>Лист5!$A$4:$A$14</c:f>
              <c:numCache>
                <c:formatCode>0.00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-1</c:v>
                </c:pt>
                <c:pt idx="6">
                  <c:v>-2</c:v>
                </c:pt>
                <c:pt idx="7">
                  <c:v>-3</c:v>
                </c:pt>
                <c:pt idx="8">
                  <c:v>-4</c:v>
                </c:pt>
                <c:pt idx="9">
                  <c:v>-5</c:v>
                </c:pt>
                <c:pt idx="10">
                  <c:v>-6</c:v>
                </c:pt>
              </c:numCache>
            </c:numRef>
          </c:xVal>
          <c:yVal>
            <c:numRef>
              <c:f>Лист5!$C$4:$C$14</c:f>
              <c:numCache>
                <c:formatCode>0.00</c:formatCode>
                <c:ptCount val="11"/>
                <c:pt idx="0">
                  <c:v>-0.65364362086361194</c:v>
                </c:pt>
                <c:pt idx="1">
                  <c:v>-0.98999249660044542</c:v>
                </c:pt>
                <c:pt idx="2">
                  <c:v>-0.41614683654714241</c:v>
                </c:pt>
                <c:pt idx="3">
                  <c:v>0.54030230586813977</c:v>
                </c:pt>
                <c:pt idx="4">
                  <c:v>1</c:v>
                </c:pt>
                <c:pt idx="5">
                  <c:v>0.54030230586813977</c:v>
                </c:pt>
                <c:pt idx="6">
                  <c:v>-0.41614683654714241</c:v>
                </c:pt>
                <c:pt idx="7">
                  <c:v>-0.98999249660044542</c:v>
                </c:pt>
                <c:pt idx="8">
                  <c:v>-0.65364362086361194</c:v>
                </c:pt>
                <c:pt idx="9">
                  <c:v>0.28366218546322625</c:v>
                </c:pt>
                <c:pt idx="10">
                  <c:v>0.96017028665036597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53088"/>
        <c:axId val="98484800"/>
      </c:scatterChart>
      <c:valAx>
        <c:axId val="11115308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98484800"/>
        <c:crosses val="autoZero"/>
        <c:crossBetween val="midCat"/>
      </c:valAx>
      <c:valAx>
        <c:axId val="984848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1153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Лист6!$B$3</c:f>
              <c:strCache>
                <c:ptCount val="1"/>
                <c:pt idx="0">
                  <c:v>√4x+7</c:v>
                </c:pt>
              </c:strCache>
            </c:strRef>
          </c:tx>
          <c:marker>
            <c:symbol val="none"/>
          </c:marker>
          <c:xVal>
            <c:numRef>
              <c:f>Лист6!$A$4:$A$14</c:f>
              <c:numCache>
                <c:formatCode>0.00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Лист6!$B$4:$B$14</c:f>
              <c:numCache>
                <c:formatCode>0.00</c:formatCode>
                <c:ptCount val="11"/>
                <c:pt idx="0">
                  <c:v>2.6457513110645907</c:v>
                </c:pt>
                <c:pt idx="1">
                  <c:v>3.3166247903553998</c:v>
                </c:pt>
                <c:pt idx="2">
                  <c:v>3.872983346207417</c:v>
                </c:pt>
                <c:pt idx="3">
                  <c:v>4.358898943540674</c:v>
                </c:pt>
                <c:pt idx="4">
                  <c:v>4.7958315233127191</c:v>
                </c:pt>
                <c:pt idx="5">
                  <c:v>5.196152422706632</c:v>
                </c:pt>
                <c:pt idx="6">
                  <c:v>5.5677643628300215</c:v>
                </c:pt>
                <c:pt idx="7">
                  <c:v>5.9160797830996161</c:v>
                </c:pt>
                <c:pt idx="8">
                  <c:v>6.2449979983983983</c:v>
                </c:pt>
                <c:pt idx="9">
                  <c:v>6.5574385243020004</c:v>
                </c:pt>
                <c:pt idx="10">
                  <c:v>6.8556546004010439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Лист6!$C$3</c:f>
              <c:strCache>
                <c:ptCount val="1"/>
                <c:pt idx="0">
                  <c:v>3cosx</c:v>
                </c:pt>
              </c:strCache>
            </c:strRef>
          </c:tx>
          <c:marker>
            <c:symbol val="none"/>
          </c:marker>
          <c:xVal>
            <c:numRef>
              <c:f>Лист6!$A$4:$A$14</c:f>
              <c:numCache>
                <c:formatCode>0.00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Лист6!$C$4:$C$14</c:f>
              <c:numCache>
                <c:formatCode>0.00</c:formatCode>
                <c:ptCount val="11"/>
                <c:pt idx="0">
                  <c:v>3</c:v>
                </c:pt>
                <c:pt idx="1">
                  <c:v>1.6209069176044193</c:v>
                </c:pt>
                <c:pt idx="2">
                  <c:v>-1.2484405096414273</c:v>
                </c:pt>
                <c:pt idx="3">
                  <c:v>-2.9699774898013365</c:v>
                </c:pt>
                <c:pt idx="4">
                  <c:v>-1.9609308625908359</c:v>
                </c:pt>
                <c:pt idx="5">
                  <c:v>0.85098655638967879</c:v>
                </c:pt>
                <c:pt idx="6">
                  <c:v>2.880510859951098</c:v>
                </c:pt>
                <c:pt idx="7">
                  <c:v>2.2617067630299137</c:v>
                </c:pt>
                <c:pt idx="8">
                  <c:v>-0.43650010142584061</c:v>
                </c:pt>
                <c:pt idx="9">
                  <c:v>-2.7333907856540307</c:v>
                </c:pt>
                <c:pt idx="10">
                  <c:v>-2.5172145872293572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55104"/>
        <c:axId val="179454528"/>
      </c:scatterChart>
      <c:valAx>
        <c:axId val="17945510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79454528"/>
        <c:crosses val="autoZero"/>
        <c:crossBetween val="midCat"/>
      </c:valAx>
      <c:valAx>
        <c:axId val="1794545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794551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yVal>
            <c:numRef>
              <c:f>Лист7!$A$3:$A$13</c:f>
              <c:numCache>
                <c:formatCode>0.00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yVal>
            <c:numRef>
              <c:f>Лист7!$B$3:$B$13</c:f>
              <c:numCache>
                <c:formatCode>0.00</c:formatCode>
                <c:ptCount val="11"/>
                <c:pt idx="0">
                  <c:v>0</c:v>
                </c:pt>
                <c:pt idx="1">
                  <c:v>0.8414709848078965</c:v>
                </c:pt>
                <c:pt idx="2">
                  <c:v>1.8185948536513634</c:v>
                </c:pt>
                <c:pt idx="3">
                  <c:v>0.42336002417960161</c:v>
                </c:pt>
                <c:pt idx="4">
                  <c:v>-3.0272099812317128</c:v>
                </c:pt>
                <c:pt idx="5">
                  <c:v>-4.7946213733156924</c:v>
                </c:pt>
                <c:pt idx="6">
                  <c:v>-1.6764929891935552</c:v>
                </c:pt>
                <c:pt idx="7">
                  <c:v>4.5989061910315234</c:v>
                </c:pt>
                <c:pt idx="8">
                  <c:v>7.9148659729870543</c:v>
                </c:pt>
                <c:pt idx="9">
                  <c:v>3.7090663671758093</c:v>
                </c:pt>
                <c:pt idx="10">
                  <c:v>-5.4402111088936973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yVal>
            <c:numRef>
              <c:f>Лист7!$C$3:$C$13</c:f>
              <c:numCache>
                <c:formatCode>0.00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70912"/>
        <c:axId val="179460288"/>
      </c:scatterChart>
      <c:valAx>
        <c:axId val="179470912"/>
        <c:scaling>
          <c:orientation val="minMax"/>
        </c:scaling>
        <c:delete val="0"/>
        <c:axPos val="b"/>
        <c:majorTickMark val="out"/>
        <c:minorTickMark val="none"/>
        <c:tickLblPos val="nextTo"/>
        <c:crossAx val="179460288"/>
        <c:crosses val="autoZero"/>
        <c:crossBetween val="midCat"/>
      </c:valAx>
      <c:valAx>
        <c:axId val="1794602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794709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Лист8!$B$3</c:f>
              <c:strCache>
                <c:ptCount val="1"/>
                <c:pt idx="0">
                  <c:v>8cosx</c:v>
                </c:pt>
              </c:strCache>
            </c:strRef>
          </c:tx>
          <c:marker>
            <c:symbol val="none"/>
          </c:marker>
          <c:xVal>
            <c:numRef>
              <c:f>Лист8!$A$4:$A$14</c:f>
              <c:numCache>
                <c:formatCode>0.00</c:formatCode>
                <c:ptCount val="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</c:numCache>
            </c:numRef>
          </c:xVal>
          <c:yVal>
            <c:numRef>
              <c:f>Лист8!$B$4:$B$14</c:f>
              <c:numCache>
                <c:formatCode>0.00</c:formatCode>
                <c:ptCount val="11"/>
                <c:pt idx="0">
                  <c:v>-6.7125722326116195</c:v>
                </c:pt>
                <c:pt idx="1">
                  <c:v>-7.2890420950774155</c:v>
                </c:pt>
                <c:pt idx="2">
                  <c:v>-1.1640002704689083</c:v>
                </c:pt>
                <c:pt idx="3">
                  <c:v>6.0312180347464368</c:v>
                </c:pt>
                <c:pt idx="4">
                  <c:v>7.6813622932029277</c:v>
                </c:pt>
                <c:pt idx="5">
                  <c:v>2.26929748370581</c:v>
                </c:pt>
                <c:pt idx="6">
                  <c:v>-5.2291489669088955</c:v>
                </c:pt>
                <c:pt idx="7">
                  <c:v>-7.9199399728035633</c:v>
                </c:pt>
                <c:pt idx="8">
                  <c:v>-3.3291746923771393</c:v>
                </c:pt>
                <c:pt idx="9">
                  <c:v>4.3224184469451181</c:v>
                </c:pt>
                <c:pt idx="10">
                  <c:v>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Лист8!$C$3</c:f>
              <c:strCache>
                <c:ptCount val="1"/>
                <c:pt idx="0">
                  <c:v>x+6</c:v>
                </c:pt>
              </c:strCache>
            </c:strRef>
          </c:tx>
          <c:marker>
            <c:symbol val="none"/>
          </c:marker>
          <c:xVal>
            <c:numRef>
              <c:f>Лист8!$A$4:$A$14</c:f>
              <c:numCache>
                <c:formatCode>0.00</c:formatCode>
                <c:ptCount val="1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</c:numCache>
            </c:numRef>
          </c:xVal>
          <c:yVal>
            <c:numRef>
              <c:f>Лист8!$C$4:$C$14</c:f>
              <c:numCache>
                <c:formatCode>0.00</c:formatCode>
                <c:ptCount val="11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76096"/>
        <c:axId val="179475520"/>
      </c:scatterChart>
      <c:valAx>
        <c:axId val="17947609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79475520"/>
        <c:crosses val="autoZero"/>
        <c:crossBetween val="midCat"/>
      </c:valAx>
      <c:valAx>
        <c:axId val="1794755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794760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</xdr:row>
      <xdr:rowOff>180976</xdr:rowOff>
    </xdr:from>
    <xdr:to>
      <xdr:col>9</xdr:col>
      <xdr:colOff>371475</xdr:colOff>
      <xdr:row>12</xdr:row>
      <xdr:rowOff>47626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4</xdr:row>
      <xdr:rowOff>152400</xdr:rowOff>
    </xdr:from>
    <xdr:to>
      <xdr:col>10</xdr:col>
      <xdr:colOff>552450</xdr:colOff>
      <xdr:row>22</xdr:row>
      <xdr:rowOff>171450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11</xdr:col>
      <xdr:colOff>314325</xdr:colOff>
      <xdr:row>16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171450</xdr:rowOff>
    </xdr:from>
    <xdr:to>
      <xdr:col>11</xdr:col>
      <xdr:colOff>304800</xdr:colOff>
      <xdr:row>16</xdr:row>
      <xdr:rowOff>57150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11</xdr:col>
      <xdr:colOff>314325</xdr:colOff>
      <xdr:row>16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180975</xdr:rowOff>
    </xdr:from>
    <xdr:to>
      <xdr:col>11</xdr:col>
      <xdr:colOff>323850</xdr:colOff>
      <xdr:row>16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180975</xdr:rowOff>
    </xdr:from>
    <xdr:to>
      <xdr:col>12</xdr:col>
      <xdr:colOff>66675</xdr:colOff>
      <xdr:row>18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2</xdr:row>
      <xdr:rowOff>28575</xdr:rowOff>
    </xdr:from>
    <xdr:to>
      <xdr:col>12</xdr:col>
      <xdr:colOff>95250</xdr:colOff>
      <xdr:row>16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N40"/>
  <sheetViews>
    <sheetView workbookViewId="0">
      <selection activeCell="C26" sqref="C26"/>
    </sheetView>
  </sheetViews>
  <sheetFormatPr defaultRowHeight="15" x14ac:dyDescent="0.25"/>
  <cols>
    <col min="1" max="1" width="11.7109375" customWidth="1"/>
    <col min="2" max="2" width="9.42578125" bestFit="1" customWidth="1"/>
    <col min="3" max="3" width="8.28515625" customWidth="1"/>
  </cols>
  <sheetData>
    <row r="1" spans="1:5" ht="17.25" x14ac:dyDescent="0.25">
      <c r="A1" t="s">
        <v>0</v>
      </c>
    </row>
    <row r="3" spans="1:5" x14ac:dyDescent="0.25">
      <c r="A3" s="1" t="s">
        <v>1</v>
      </c>
      <c r="B3" s="1" t="s">
        <v>2</v>
      </c>
      <c r="C3" s="1" t="s">
        <v>3</v>
      </c>
    </row>
    <row r="4" spans="1:5" x14ac:dyDescent="0.25">
      <c r="A4" s="1">
        <v>0</v>
      </c>
      <c r="B4" s="1">
        <f>(0.2*A4)^3</f>
        <v>0</v>
      </c>
      <c r="C4" s="1">
        <f>COS(A4)</f>
        <v>1</v>
      </c>
    </row>
    <row r="5" spans="1:5" x14ac:dyDescent="0.25">
      <c r="A5" s="1">
        <v>1</v>
      </c>
      <c r="B5" s="1">
        <f t="shared" ref="B5:B14" si="0">(0.2*A5)^3</f>
        <v>8.0000000000000019E-3</v>
      </c>
      <c r="C5" s="1">
        <f t="shared" ref="C5:C14" si="1">COS(A5)</f>
        <v>0.54030230586813977</v>
      </c>
    </row>
    <row r="6" spans="1:5" x14ac:dyDescent="0.25">
      <c r="A6" s="1">
        <v>2</v>
      </c>
      <c r="B6" s="1">
        <f t="shared" si="0"/>
        <v>6.4000000000000015E-2</v>
      </c>
      <c r="C6" s="1">
        <f t="shared" si="1"/>
        <v>-0.41614683654714241</v>
      </c>
    </row>
    <row r="7" spans="1:5" x14ac:dyDescent="0.25">
      <c r="A7" s="1">
        <v>3</v>
      </c>
      <c r="B7" s="1">
        <f t="shared" si="0"/>
        <v>0.21600000000000008</v>
      </c>
      <c r="C7" s="1">
        <f t="shared" si="1"/>
        <v>-0.98999249660044542</v>
      </c>
    </row>
    <row r="8" spans="1:5" x14ac:dyDescent="0.25">
      <c r="A8" s="1">
        <v>4</v>
      </c>
      <c r="B8" s="1">
        <f t="shared" si="0"/>
        <v>0.51200000000000012</v>
      </c>
      <c r="C8" s="1">
        <f t="shared" si="1"/>
        <v>-0.65364362086361194</v>
      </c>
    </row>
    <row r="9" spans="1:5" x14ac:dyDescent="0.25">
      <c r="A9" s="1">
        <v>5</v>
      </c>
      <c r="B9" s="1">
        <f t="shared" si="0"/>
        <v>1</v>
      </c>
      <c r="C9" s="1">
        <f t="shared" si="1"/>
        <v>0.28366218546322625</v>
      </c>
    </row>
    <row r="10" spans="1:5" x14ac:dyDescent="0.25">
      <c r="A10" s="1">
        <v>6</v>
      </c>
      <c r="B10" s="1">
        <f t="shared" si="0"/>
        <v>1.7280000000000006</v>
      </c>
      <c r="C10" s="1">
        <f t="shared" si="1"/>
        <v>0.96017028665036597</v>
      </c>
    </row>
    <row r="11" spans="1:5" x14ac:dyDescent="0.25">
      <c r="A11" s="1">
        <v>7</v>
      </c>
      <c r="B11" s="1">
        <f t="shared" si="0"/>
        <v>2.7440000000000007</v>
      </c>
      <c r="C11" s="1">
        <f t="shared" si="1"/>
        <v>0.7539022543433046</v>
      </c>
    </row>
    <row r="12" spans="1:5" x14ac:dyDescent="0.25">
      <c r="A12" s="1">
        <v>8</v>
      </c>
      <c r="B12" s="1">
        <f t="shared" si="0"/>
        <v>4.096000000000001</v>
      </c>
      <c r="C12" s="1">
        <f t="shared" si="1"/>
        <v>-0.14550003380861354</v>
      </c>
    </row>
    <row r="13" spans="1:5" x14ac:dyDescent="0.25">
      <c r="A13" s="1">
        <v>9</v>
      </c>
      <c r="B13" s="1">
        <f t="shared" si="0"/>
        <v>5.8320000000000007</v>
      </c>
      <c r="C13" s="1">
        <f t="shared" si="1"/>
        <v>-0.91113026188467694</v>
      </c>
    </row>
    <row r="14" spans="1:5" x14ac:dyDescent="0.25">
      <c r="A14" s="1">
        <v>10</v>
      </c>
      <c r="B14" s="1">
        <f t="shared" si="0"/>
        <v>8</v>
      </c>
      <c r="C14" s="1">
        <f t="shared" si="1"/>
        <v>-0.83907152907645244</v>
      </c>
      <c r="E14" t="s">
        <v>4</v>
      </c>
    </row>
    <row r="22" spans="4:14" ht="13.5" customHeight="1" x14ac:dyDescent="0.25"/>
    <row r="32" spans="4:14" x14ac:dyDescent="0.25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4:14" x14ac:dyDescent="0.25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4:14" x14ac:dyDescent="0.25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4:14" x14ac:dyDescent="0.25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4:14" x14ac:dyDescent="0.25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4:14" x14ac:dyDescent="0.25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4:14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4:14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4:14" x14ac:dyDescent="0.25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26"/>
  <sheetViews>
    <sheetView workbookViewId="0">
      <selection activeCell="C5" sqref="C5"/>
    </sheetView>
  </sheetViews>
  <sheetFormatPr defaultRowHeight="15" x14ac:dyDescent="0.25"/>
  <sheetData>
    <row r="1" spans="1:3" x14ac:dyDescent="0.25">
      <c r="A1" t="s">
        <v>5</v>
      </c>
    </row>
    <row r="3" spans="1:3" x14ac:dyDescent="0.25">
      <c r="A3" s="1" t="s">
        <v>1</v>
      </c>
      <c r="B3" s="1" t="s">
        <v>1</v>
      </c>
      <c r="C3" s="1" t="s">
        <v>6</v>
      </c>
    </row>
    <row r="4" spans="1:3" x14ac:dyDescent="0.25">
      <c r="A4" s="1">
        <v>0</v>
      </c>
      <c r="B4" s="1">
        <f>A4</f>
        <v>0</v>
      </c>
      <c r="C4" s="1">
        <f>10*SIN(A4)</f>
        <v>0</v>
      </c>
    </row>
    <row r="5" spans="1:3" x14ac:dyDescent="0.25">
      <c r="A5" s="1">
        <v>1</v>
      </c>
      <c r="B5" s="1">
        <f>A5</f>
        <v>1</v>
      </c>
      <c r="C5" s="1">
        <f>10*SIN(A5)</f>
        <v>8.4147098480789655</v>
      </c>
    </row>
    <row r="6" spans="1:3" x14ac:dyDescent="0.25">
      <c r="A6" s="1">
        <v>2</v>
      </c>
      <c r="B6" s="1">
        <f>A6</f>
        <v>2</v>
      </c>
      <c r="C6" s="1">
        <f>10*SIN(A6)</f>
        <v>9.0929742682568175</v>
      </c>
    </row>
    <row r="7" spans="1:3" x14ac:dyDescent="0.25">
      <c r="A7" s="1">
        <v>3</v>
      </c>
      <c r="B7" s="1">
        <f t="shared" ref="B7:B26" si="0">A7</f>
        <v>3</v>
      </c>
      <c r="C7" s="1">
        <f>10*SIN(A7)</f>
        <v>1.4112000805986722</v>
      </c>
    </row>
    <row r="8" spans="1:3" x14ac:dyDescent="0.25">
      <c r="A8" s="1">
        <v>4</v>
      </c>
      <c r="B8" s="1">
        <f t="shared" si="0"/>
        <v>4</v>
      </c>
      <c r="C8" s="1">
        <f>10*SIN(A8)</f>
        <v>-7.5680249530792825</v>
      </c>
    </row>
    <row r="9" spans="1:3" x14ac:dyDescent="0.25">
      <c r="A9" s="1">
        <v>5</v>
      </c>
      <c r="B9" s="1">
        <f t="shared" si="0"/>
        <v>5</v>
      </c>
      <c r="C9" s="1">
        <f>10*SIN(A9)</f>
        <v>-9.5892427466313848</v>
      </c>
    </row>
    <row r="10" spans="1:3" x14ac:dyDescent="0.25">
      <c r="A10" s="1">
        <v>6</v>
      </c>
      <c r="B10" s="1">
        <f t="shared" si="0"/>
        <v>6</v>
      </c>
      <c r="C10" s="1">
        <f>10*SIN(A10)</f>
        <v>-2.7941549819892586</v>
      </c>
    </row>
    <row r="11" spans="1:3" x14ac:dyDescent="0.25">
      <c r="A11" s="1">
        <v>7</v>
      </c>
      <c r="B11" s="1">
        <f t="shared" si="0"/>
        <v>7</v>
      </c>
      <c r="C11" s="1">
        <f>10*SIN(A11)</f>
        <v>6.5698659871878906</v>
      </c>
    </row>
    <row r="12" spans="1:3" x14ac:dyDescent="0.25">
      <c r="A12" s="1">
        <v>8</v>
      </c>
      <c r="B12" s="1">
        <f t="shared" si="0"/>
        <v>8</v>
      </c>
      <c r="C12" s="1">
        <f>10*SIN(A12)</f>
        <v>9.8935824662338181</v>
      </c>
    </row>
    <row r="13" spans="1:3" x14ac:dyDescent="0.25">
      <c r="A13" s="1">
        <v>9</v>
      </c>
      <c r="B13" s="1">
        <f t="shared" si="0"/>
        <v>9</v>
      </c>
      <c r="C13" s="1">
        <f>10*SIN(A13)</f>
        <v>4.1211848524175663</v>
      </c>
    </row>
    <row r="14" spans="1:3" x14ac:dyDescent="0.25">
      <c r="A14" s="1">
        <v>10</v>
      </c>
      <c r="B14" s="1">
        <f t="shared" si="0"/>
        <v>10</v>
      </c>
      <c r="C14" s="1">
        <f>10*SIN(A14)</f>
        <v>-5.4402111088936973</v>
      </c>
    </row>
    <row r="15" spans="1:3" x14ac:dyDescent="0.25">
      <c r="A15" s="1">
        <v>11</v>
      </c>
      <c r="B15" s="1">
        <f t="shared" si="0"/>
        <v>11</v>
      </c>
      <c r="C15" s="1">
        <f>10*SIN(A15)</f>
        <v>-9.999902065507035</v>
      </c>
    </row>
    <row r="16" spans="1:3" x14ac:dyDescent="0.25">
      <c r="A16" s="1">
        <v>12</v>
      </c>
      <c r="B16" s="1">
        <f t="shared" si="0"/>
        <v>12</v>
      </c>
      <c r="C16" s="1">
        <f>10*SIN(A16)</f>
        <v>-5.3657291800043492</v>
      </c>
    </row>
    <row r="17" spans="1:3" x14ac:dyDescent="0.25">
      <c r="A17" s="1">
        <v>13</v>
      </c>
      <c r="B17" s="1">
        <f t="shared" si="0"/>
        <v>13</v>
      </c>
      <c r="C17" s="1">
        <f>10*SIN(A17)</f>
        <v>4.2016703682664094</v>
      </c>
    </row>
    <row r="18" spans="1:3" x14ac:dyDescent="0.25">
      <c r="A18" s="1">
        <v>14</v>
      </c>
      <c r="B18" s="1">
        <f t="shared" si="0"/>
        <v>14</v>
      </c>
      <c r="C18" s="1">
        <f>10*SIN(A18)</f>
        <v>9.9060735569487033</v>
      </c>
    </row>
    <row r="19" spans="1:3" x14ac:dyDescent="0.25">
      <c r="A19" s="1">
        <v>15</v>
      </c>
      <c r="B19" s="1">
        <f t="shared" si="0"/>
        <v>15</v>
      </c>
      <c r="C19" s="1">
        <f>10*SIN(A19)</f>
        <v>6.5028784015711683</v>
      </c>
    </row>
    <row r="20" spans="1:3" x14ac:dyDescent="0.25">
      <c r="A20" s="1">
        <v>16</v>
      </c>
      <c r="B20" s="1">
        <f t="shared" si="0"/>
        <v>16</v>
      </c>
      <c r="C20" s="1">
        <f>10*SIN(A20)</f>
        <v>-2.879033166650653</v>
      </c>
    </row>
    <row r="21" spans="1:3" x14ac:dyDescent="0.25">
      <c r="A21" s="1">
        <v>17</v>
      </c>
      <c r="B21" s="1">
        <f t="shared" si="0"/>
        <v>17</v>
      </c>
      <c r="C21" s="1">
        <f>10*SIN(A21)</f>
        <v>-9.6139749187955683</v>
      </c>
    </row>
    <row r="22" spans="1:3" x14ac:dyDescent="0.25">
      <c r="A22" s="1">
        <v>18</v>
      </c>
      <c r="B22" s="1">
        <f t="shared" si="0"/>
        <v>18</v>
      </c>
      <c r="C22" s="1">
        <f>10*SIN(A22)</f>
        <v>-7.509872467716761</v>
      </c>
    </row>
    <row r="23" spans="1:3" x14ac:dyDescent="0.25">
      <c r="A23" s="1">
        <v>19</v>
      </c>
      <c r="B23" s="1">
        <f t="shared" si="0"/>
        <v>19</v>
      </c>
      <c r="C23" s="1">
        <f>10*SIN(A23)</f>
        <v>1.4987720966295235</v>
      </c>
    </row>
    <row r="24" spans="1:3" x14ac:dyDescent="0.25">
      <c r="A24" s="1">
        <v>20</v>
      </c>
      <c r="B24" s="1">
        <f t="shared" si="0"/>
        <v>20</v>
      </c>
      <c r="C24" s="1">
        <f>10*SIN(A24)</f>
        <v>9.1294525072762767</v>
      </c>
    </row>
    <row r="25" spans="1:3" x14ac:dyDescent="0.25">
      <c r="A25" s="1">
        <v>21</v>
      </c>
      <c r="B25" s="1">
        <f t="shared" si="0"/>
        <v>21</v>
      </c>
      <c r="C25" s="1">
        <f>10*SIN(A25)</f>
        <v>8.3665563853605605</v>
      </c>
    </row>
    <row r="26" spans="1:3" x14ac:dyDescent="0.25">
      <c r="A26" s="1">
        <v>22</v>
      </c>
      <c r="B26" s="1">
        <f t="shared" si="0"/>
        <v>22</v>
      </c>
      <c r="C26" s="1">
        <f>10*SIN(A26)</f>
        <v>-8.8513092904038762E-2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17"/>
  <sheetViews>
    <sheetView workbookViewId="0">
      <selection activeCell="C26" sqref="C26"/>
    </sheetView>
  </sheetViews>
  <sheetFormatPr defaultRowHeight="15" x14ac:dyDescent="0.25"/>
  <sheetData>
    <row r="1" spans="1:3" ht="17.25" x14ac:dyDescent="0.25">
      <c r="A1" t="s">
        <v>7</v>
      </c>
    </row>
    <row r="3" spans="1:3" x14ac:dyDescent="0.25">
      <c r="A3" s="1" t="s">
        <v>1</v>
      </c>
      <c r="B3" s="1" t="s">
        <v>8</v>
      </c>
      <c r="C3" s="1" t="s">
        <v>9</v>
      </c>
    </row>
    <row r="4" spans="1:3" x14ac:dyDescent="0.25">
      <c r="A4" s="1">
        <v>10</v>
      </c>
      <c r="B4" s="1">
        <f>POWER(2,-A4)</f>
        <v>9.765625E-4</v>
      </c>
      <c r="C4" s="1">
        <f>SIN(A4)</f>
        <v>-0.54402111088936977</v>
      </c>
    </row>
    <row r="5" spans="1:3" x14ac:dyDescent="0.25">
      <c r="A5" s="1">
        <v>9</v>
      </c>
      <c r="B5" s="1">
        <f t="shared" ref="B5:B17" si="0">POWER(2,-A5)</f>
        <v>1.953125E-3</v>
      </c>
      <c r="C5" s="1">
        <f>SIN(A5)</f>
        <v>0.41211848524175659</v>
      </c>
    </row>
    <row r="6" spans="1:3" x14ac:dyDescent="0.25">
      <c r="A6" s="1">
        <v>8</v>
      </c>
      <c r="B6" s="1">
        <f t="shared" si="0"/>
        <v>3.90625E-3</v>
      </c>
      <c r="C6" s="1">
        <f t="shared" ref="C5:C14" si="1">SIN(A6)</f>
        <v>0.98935824662338179</v>
      </c>
    </row>
    <row r="7" spans="1:3" x14ac:dyDescent="0.25">
      <c r="A7" s="1">
        <v>7</v>
      </c>
      <c r="B7" s="1">
        <f t="shared" si="0"/>
        <v>7.8125E-3</v>
      </c>
      <c r="C7" s="1">
        <f t="shared" si="1"/>
        <v>0.65698659871878906</v>
      </c>
    </row>
    <row r="8" spans="1:3" x14ac:dyDescent="0.25">
      <c r="A8" s="1">
        <v>6</v>
      </c>
      <c r="B8" s="1">
        <f t="shared" si="0"/>
        <v>1.5625E-2</v>
      </c>
      <c r="C8" s="1">
        <f t="shared" si="1"/>
        <v>-0.27941549819892586</v>
      </c>
    </row>
    <row r="9" spans="1:3" x14ac:dyDescent="0.25">
      <c r="A9" s="1">
        <v>5</v>
      </c>
      <c r="B9" s="1">
        <f t="shared" si="0"/>
        <v>3.125E-2</v>
      </c>
      <c r="C9" s="1">
        <f t="shared" si="1"/>
        <v>-0.95892427466313845</v>
      </c>
    </row>
    <row r="10" spans="1:3" x14ac:dyDescent="0.25">
      <c r="A10" s="1">
        <v>4</v>
      </c>
      <c r="B10" s="1">
        <f t="shared" si="0"/>
        <v>6.25E-2</v>
      </c>
      <c r="C10" s="1">
        <f t="shared" si="1"/>
        <v>-0.7568024953079282</v>
      </c>
    </row>
    <row r="11" spans="1:3" x14ac:dyDescent="0.25">
      <c r="A11" s="1">
        <v>3</v>
      </c>
      <c r="B11" s="1">
        <f t="shared" si="0"/>
        <v>0.125</v>
      </c>
      <c r="C11" s="1">
        <f t="shared" si="1"/>
        <v>0.14112000805986721</v>
      </c>
    </row>
    <row r="12" spans="1:3" x14ac:dyDescent="0.25">
      <c r="A12" s="1">
        <v>2</v>
      </c>
      <c r="B12" s="1">
        <f t="shared" si="0"/>
        <v>0.25</v>
      </c>
      <c r="C12" s="1">
        <f t="shared" si="1"/>
        <v>0.90929742682568171</v>
      </c>
    </row>
    <row r="13" spans="1:3" x14ac:dyDescent="0.25">
      <c r="A13" s="1">
        <v>1</v>
      </c>
      <c r="B13" s="1">
        <f t="shared" si="0"/>
        <v>0.5</v>
      </c>
      <c r="C13" s="1">
        <f t="shared" si="1"/>
        <v>0.8414709848078965</v>
      </c>
    </row>
    <row r="14" spans="1:3" x14ac:dyDescent="0.25">
      <c r="A14" s="1">
        <v>0</v>
      </c>
      <c r="B14" s="1">
        <f t="shared" si="0"/>
        <v>1</v>
      </c>
      <c r="C14" s="1">
        <f t="shared" si="1"/>
        <v>0</v>
      </c>
    </row>
    <row r="15" spans="1:3" x14ac:dyDescent="0.25">
      <c r="A15" s="1">
        <v>-1</v>
      </c>
      <c r="B15" s="1">
        <f>POWER(2,-A15)</f>
        <v>2</v>
      </c>
      <c r="C15" s="1">
        <f>SIN(A15)</f>
        <v>-0.8414709848078965</v>
      </c>
    </row>
    <row r="16" spans="1:3" x14ac:dyDescent="0.25">
      <c r="A16" s="1">
        <v>-2</v>
      </c>
      <c r="B16" s="1">
        <f t="shared" si="0"/>
        <v>4</v>
      </c>
      <c r="C16" s="1">
        <f>SIN(A16)</f>
        <v>-0.90929742682568171</v>
      </c>
    </row>
    <row r="17" spans="1:3" x14ac:dyDescent="0.25">
      <c r="A17" s="1">
        <v>-3</v>
      </c>
      <c r="B17" s="1">
        <f t="shared" si="0"/>
        <v>8</v>
      </c>
      <c r="C17" s="1">
        <f t="shared" ref="C17" si="2">SIN(A17)</f>
        <v>-0.14112000805986721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L24" sqref="L24"/>
    </sheetView>
  </sheetViews>
  <sheetFormatPr defaultRowHeight="15" x14ac:dyDescent="0.25"/>
  <sheetData>
    <row r="1" spans="1:3" ht="17.25" x14ac:dyDescent="0.25">
      <c r="A1" t="s">
        <v>10</v>
      </c>
    </row>
    <row r="3" spans="1:3" x14ac:dyDescent="0.25">
      <c r="A3" s="1" t="s">
        <v>1</v>
      </c>
      <c r="B3" s="1" t="s">
        <v>11</v>
      </c>
      <c r="C3" s="1" t="s">
        <v>12</v>
      </c>
    </row>
    <row r="4" spans="1:3" x14ac:dyDescent="0.25">
      <c r="A4" s="1">
        <v>-10</v>
      </c>
      <c r="B4" s="1">
        <f>POWER(2,A4)</f>
        <v>9.765625E-4</v>
      </c>
      <c r="C4" s="1">
        <f>2*COS(A4)</f>
        <v>-1.6781430581529049</v>
      </c>
    </row>
    <row r="5" spans="1:3" x14ac:dyDescent="0.25">
      <c r="A5" s="1">
        <v>-9</v>
      </c>
      <c r="B5" s="1">
        <f t="shared" ref="B5:B14" si="0">POWER(2,A5)</f>
        <v>1.953125E-3</v>
      </c>
      <c r="C5" s="1">
        <f t="shared" ref="C5:C14" si="1">2*COS(A5)</f>
        <v>-1.8222605237693539</v>
      </c>
    </row>
    <row r="6" spans="1:3" x14ac:dyDescent="0.25">
      <c r="A6" s="1">
        <v>-8</v>
      </c>
      <c r="B6" s="1">
        <f t="shared" si="0"/>
        <v>3.90625E-3</v>
      </c>
      <c r="C6" s="1">
        <f t="shared" si="1"/>
        <v>-0.29100006761722708</v>
      </c>
    </row>
    <row r="7" spans="1:3" x14ac:dyDescent="0.25">
      <c r="A7" s="1">
        <v>-7</v>
      </c>
      <c r="B7" s="1">
        <f t="shared" si="0"/>
        <v>7.8125E-3</v>
      </c>
      <c r="C7" s="1">
        <f t="shared" si="1"/>
        <v>1.5078045086866092</v>
      </c>
    </row>
    <row r="8" spans="1:3" x14ac:dyDescent="0.25">
      <c r="A8" s="1">
        <v>-6</v>
      </c>
      <c r="B8" s="1">
        <f t="shared" si="0"/>
        <v>1.5625E-2</v>
      </c>
      <c r="C8" s="1">
        <f t="shared" si="1"/>
        <v>1.9203405733007319</v>
      </c>
    </row>
    <row r="9" spans="1:3" x14ac:dyDescent="0.25">
      <c r="A9" s="1">
        <v>-5</v>
      </c>
      <c r="B9" s="1">
        <f t="shared" si="0"/>
        <v>3.125E-2</v>
      </c>
      <c r="C9" s="1">
        <f t="shared" si="1"/>
        <v>0.56732437092645249</v>
      </c>
    </row>
    <row r="10" spans="1:3" x14ac:dyDescent="0.25">
      <c r="A10" s="1">
        <v>-4</v>
      </c>
      <c r="B10" s="1">
        <f t="shared" si="0"/>
        <v>6.25E-2</v>
      </c>
      <c r="C10" s="1">
        <f t="shared" si="1"/>
        <v>-1.3072872417272239</v>
      </c>
    </row>
    <row r="11" spans="1:3" x14ac:dyDescent="0.25">
      <c r="A11" s="1">
        <v>-3</v>
      </c>
      <c r="B11" s="1">
        <f t="shared" si="0"/>
        <v>0.125</v>
      </c>
      <c r="C11" s="1">
        <f t="shared" si="1"/>
        <v>-1.9799849932008908</v>
      </c>
    </row>
    <row r="12" spans="1:3" x14ac:dyDescent="0.25">
      <c r="A12" s="1">
        <v>-2</v>
      </c>
      <c r="B12" s="1">
        <f t="shared" si="0"/>
        <v>0.25</v>
      </c>
      <c r="C12" s="1">
        <f t="shared" si="1"/>
        <v>-0.83229367309428481</v>
      </c>
    </row>
    <row r="13" spans="1:3" x14ac:dyDescent="0.25">
      <c r="A13" s="1">
        <v>-1</v>
      </c>
      <c r="B13" s="1">
        <f t="shared" si="0"/>
        <v>0.5</v>
      </c>
      <c r="C13" s="1">
        <f t="shared" si="1"/>
        <v>1.0806046117362795</v>
      </c>
    </row>
    <row r="14" spans="1:3" x14ac:dyDescent="0.25">
      <c r="A14" s="1">
        <v>0</v>
      </c>
      <c r="B14" s="1">
        <f t="shared" si="0"/>
        <v>1</v>
      </c>
      <c r="C14" s="1">
        <f t="shared" si="1"/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13</v>
      </c>
    </row>
    <row r="3" spans="1:3" x14ac:dyDescent="0.25">
      <c r="A3" s="1" t="s">
        <v>1</v>
      </c>
      <c r="B3" s="1" t="s">
        <v>14</v>
      </c>
      <c r="C3" s="1" t="s">
        <v>3</v>
      </c>
    </row>
    <row r="4" spans="1:3" x14ac:dyDescent="0.25">
      <c r="A4" s="1">
        <v>4</v>
      </c>
      <c r="B4" s="1">
        <f>LOG(A4+5)</f>
        <v>0.95424250943932487</v>
      </c>
      <c r="C4" s="1">
        <f>COS(A4)</f>
        <v>-0.65364362086361194</v>
      </c>
    </row>
    <row r="5" spans="1:3" x14ac:dyDescent="0.25">
      <c r="A5" s="1">
        <v>3</v>
      </c>
      <c r="B5" s="1">
        <f t="shared" ref="B5:B14" si="0">LOG(A5+5)</f>
        <v>0.90308998699194354</v>
      </c>
      <c r="C5" s="1">
        <f t="shared" ref="C5:C14" si="1">COS(A5)</f>
        <v>-0.98999249660044542</v>
      </c>
    </row>
    <row r="6" spans="1:3" x14ac:dyDescent="0.25">
      <c r="A6" s="1">
        <v>2</v>
      </c>
      <c r="B6" s="1">
        <f t="shared" si="0"/>
        <v>0.84509804001425681</v>
      </c>
      <c r="C6" s="1">
        <f t="shared" si="1"/>
        <v>-0.41614683654714241</v>
      </c>
    </row>
    <row r="7" spans="1:3" x14ac:dyDescent="0.25">
      <c r="A7" s="1">
        <v>1</v>
      </c>
      <c r="B7" s="1">
        <f t="shared" si="0"/>
        <v>0.77815125038364363</v>
      </c>
      <c r="C7" s="1">
        <f t="shared" si="1"/>
        <v>0.54030230586813977</v>
      </c>
    </row>
    <row r="8" spans="1:3" x14ac:dyDescent="0.25">
      <c r="A8" s="1">
        <v>0</v>
      </c>
      <c r="B8" s="1">
        <f t="shared" si="0"/>
        <v>0.69897000433601886</v>
      </c>
      <c r="C8" s="1">
        <f t="shared" si="1"/>
        <v>1</v>
      </c>
    </row>
    <row r="9" spans="1:3" x14ac:dyDescent="0.25">
      <c r="A9" s="1">
        <v>-1</v>
      </c>
      <c r="B9" s="1">
        <f t="shared" si="0"/>
        <v>0.6020599913279624</v>
      </c>
      <c r="C9" s="1">
        <f t="shared" si="1"/>
        <v>0.54030230586813977</v>
      </c>
    </row>
    <row r="10" spans="1:3" x14ac:dyDescent="0.25">
      <c r="A10" s="1">
        <v>-2</v>
      </c>
      <c r="B10" s="1">
        <f t="shared" si="0"/>
        <v>0.47712125471966244</v>
      </c>
      <c r="C10" s="1">
        <f t="shared" si="1"/>
        <v>-0.41614683654714241</v>
      </c>
    </row>
    <row r="11" spans="1:3" x14ac:dyDescent="0.25">
      <c r="A11" s="1">
        <v>-3</v>
      </c>
      <c r="B11" s="1">
        <f t="shared" si="0"/>
        <v>0.3010299956639812</v>
      </c>
      <c r="C11" s="1">
        <f t="shared" si="1"/>
        <v>-0.98999249660044542</v>
      </c>
    </row>
    <row r="12" spans="1:3" x14ac:dyDescent="0.25">
      <c r="A12" s="1">
        <v>-4</v>
      </c>
      <c r="B12" s="1">
        <f t="shared" si="0"/>
        <v>0</v>
      </c>
      <c r="C12" s="1">
        <f t="shared" si="1"/>
        <v>-0.65364362086361194</v>
      </c>
    </row>
    <row r="13" spans="1:3" x14ac:dyDescent="0.25">
      <c r="A13" s="1">
        <v>-5</v>
      </c>
      <c r="B13" s="1" t="e">
        <f t="shared" si="0"/>
        <v>#NUM!</v>
      </c>
      <c r="C13" s="1">
        <f t="shared" si="1"/>
        <v>0.28366218546322625</v>
      </c>
    </row>
    <row r="14" spans="1:3" x14ac:dyDescent="0.25">
      <c r="A14" s="1">
        <v>-6</v>
      </c>
      <c r="B14" s="1" t="e">
        <f>LOG(A14+5)</f>
        <v>#NUM!</v>
      </c>
      <c r="C14" s="1">
        <f t="shared" si="1"/>
        <v>0.96017028665036597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5" sqref="B5"/>
    </sheetView>
  </sheetViews>
  <sheetFormatPr defaultRowHeight="15" x14ac:dyDescent="0.25"/>
  <sheetData>
    <row r="1" spans="1:4" x14ac:dyDescent="0.25">
      <c r="A1" t="s">
        <v>15</v>
      </c>
    </row>
    <row r="3" spans="1:4" x14ac:dyDescent="0.25">
      <c r="A3" s="1" t="s">
        <v>1</v>
      </c>
      <c r="B3" s="1" t="s">
        <v>16</v>
      </c>
      <c r="C3" s="1" t="s">
        <v>17</v>
      </c>
      <c r="D3" s="3"/>
    </row>
    <row r="4" spans="1:4" x14ac:dyDescent="0.25">
      <c r="A4" s="1">
        <v>0</v>
      </c>
      <c r="B4" s="1">
        <f>SQRT(4*A4+7)</f>
        <v>2.6457513110645907</v>
      </c>
      <c r="C4" s="1">
        <f>3*COS(A4)</f>
        <v>3</v>
      </c>
    </row>
    <row r="5" spans="1:4" x14ac:dyDescent="0.25">
      <c r="A5" s="1">
        <v>1</v>
      </c>
      <c r="B5" s="1">
        <f t="shared" ref="B5:B14" si="0">SQRT(4*A5+7)</f>
        <v>3.3166247903553998</v>
      </c>
      <c r="C5" s="1">
        <f t="shared" ref="C5:C14" si="1">3*COS(A5)</f>
        <v>1.6209069176044193</v>
      </c>
    </row>
    <row r="6" spans="1:4" x14ac:dyDescent="0.25">
      <c r="A6" s="1">
        <v>2</v>
      </c>
      <c r="B6" s="1">
        <f t="shared" si="0"/>
        <v>3.872983346207417</v>
      </c>
      <c r="C6" s="1">
        <f t="shared" si="1"/>
        <v>-1.2484405096414273</v>
      </c>
    </row>
    <row r="7" spans="1:4" x14ac:dyDescent="0.25">
      <c r="A7" s="1">
        <v>3</v>
      </c>
      <c r="B7" s="1">
        <f t="shared" si="0"/>
        <v>4.358898943540674</v>
      </c>
      <c r="C7" s="1">
        <f t="shared" si="1"/>
        <v>-2.9699774898013365</v>
      </c>
    </row>
    <row r="8" spans="1:4" x14ac:dyDescent="0.25">
      <c r="A8" s="1">
        <v>4</v>
      </c>
      <c r="B8" s="1">
        <f t="shared" si="0"/>
        <v>4.7958315233127191</v>
      </c>
      <c r="C8" s="1">
        <f t="shared" si="1"/>
        <v>-1.9609308625908359</v>
      </c>
    </row>
    <row r="9" spans="1:4" x14ac:dyDescent="0.25">
      <c r="A9" s="1">
        <v>5</v>
      </c>
      <c r="B9" s="1">
        <f t="shared" si="0"/>
        <v>5.196152422706632</v>
      </c>
      <c r="C9" s="1">
        <f t="shared" si="1"/>
        <v>0.85098655638967879</v>
      </c>
    </row>
    <row r="10" spans="1:4" x14ac:dyDescent="0.25">
      <c r="A10" s="1">
        <v>6</v>
      </c>
      <c r="B10" s="1">
        <f t="shared" si="0"/>
        <v>5.5677643628300215</v>
      </c>
      <c r="C10" s="1">
        <f t="shared" si="1"/>
        <v>2.880510859951098</v>
      </c>
    </row>
    <row r="11" spans="1:4" x14ac:dyDescent="0.25">
      <c r="A11" s="1">
        <v>7</v>
      </c>
      <c r="B11" s="1">
        <f t="shared" si="0"/>
        <v>5.9160797830996161</v>
      </c>
      <c r="C11" s="1">
        <f t="shared" si="1"/>
        <v>2.2617067630299137</v>
      </c>
    </row>
    <row r="12" spans="1:4" x14ac:dyDescent="0.25">
      <c r="A12" s="1">
        <v>8</v>
      </c>
      <c r="B12" s="1">
        <f t="shared" si="0"/>
        <v>6.2449979983983983</v>
      </c>
      <c r="C12" s="1">
        <f t="shared" si="1"/>
        <v>-0.43650010142584061</v>
      </c>
    </row>
    <row r="13" spans="1:4" x14ac:dyDescent="0.25">
      <c r="A13" s="1">
        <v>9</v>
      </c>
      <c r="B13" s="1">
        <f t="shared" si="0"/>
        <v>6.5574385243020004</v>
      </c>
      <c r="C13" s="1">
        <f t="shared" si="1"/>
        <v>-2.7333907856540307</v>
      </c>
    </row>
    <row r="14" spans="1:4" x14ac:dyDescent="0.25">
      <c r="A14" s="1">
        <v>10</v>
      </c>
      <c r="B14" s="1">
        <f t="shared" si="0"/>
        <v>6.8556546004010439</v>
      </c>
      <c r="C14" s="1">
        <f t="shared" si="1"/>
        <v>-2.5172145872293572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N25" sqref="N25"/>
    </sheetView>
  </sheetViews>
  <sheetFormatPr defaultRowHeight="15" x14ac:dyDescent="0.25"/>
  <sheetData>
    <row r="1" spans="1:20" x14ac:dyDescent="0.25">
      <c r="A1" t="s">
        <v>18</v>
      </c>
    </row>
    <row r="3" spans="1:20" x14ac:dyDescent="0.25">
      <c r="A3" s="1" t="s">
        <v>1</v>
      </c>
      <c r="B3" s="1" t="s">
        <v>19</v>
      </c>
      <c r="C3" s="1">
        <v>1</v>
      </c>
    </row>
    <row r="4" spans="1:20" x14ac:dyDescent="0.25">
      <c r="A4" s="1">
        <v>1</v>
      </c>
      <c r="B4" s="1">
        <f>A4*SIN(A4)</f>
        <v>0.8414709848078965</v>
      </c>
      <c r="C4" s="1">
        <v>1</v>
      </c>
    </row>
    <row r="5" spans="1:20" x14ac:dyDescent="0.25">
      <c r="A5" s="1">
        <v>2</v>
      </c>
      <c r="B5" s="1">
        <f t="shared" ref="B5:B13" si="0">A5*SIN(A5)</f>
        <v>1.8185948536513634</v>
      </c>
      <c r="C5" s="1">
        <v>1</v>
      </c>
    </row>
    <row r="6" spans="1:20" x14ac:dyDescent="0.25">
      <c r="A6" s="1">
        <v>3</v>
      </c>
      <c r="B6" s="1">
        <f t="shared" si="0"/>
        <v>0.42336002417960161</v>
      </c>
      <c r="C6" s="1">
        <v>1</v>
      </c>
    </row>
    <row r="7" spans="1:20" x14ac:dyDescent="0.25">
      <c r="A7" s="1">
        <v>4</v>
      </c>
      <c r="B7" s="1">
        <f t="shared" si="0"/>
        <v>-3.0272099812317128</v>
      </c>
      <c r="C7" s="1">
        <v>1</v>
      </c>
    </row>
    <row r="8" spans="1:20" x14ac:dyDescent="0.25">
      <c r="A8" s="1">
        <v>5</v>
      </c>
      <c r="B8" s="1">
        <f t="shared" si="0"/>
        <v>-4.7946213733156924</v>
      </c>
      <c r="C8" s="1">
        <v>1</v>
      </c>
    </row>
    <row r="9" spans="1:20" x14ac:dyDescent="0.25">
      <c r="A9" s="1">
        <v>6</v>
      </c>
      <c r="B9" s="1">
        <f t="shared" si="0"/>
        <v>-1.6764929891935552</v>
      </c>
      <c r="C9" s="1">
        <v>1</v>
      </c>
    </row>
    <row r="10" spans="1:20" x14ac:dyDescent="0.25">
      <c r="A10" s="1">
        <v>7</v>
      </c>
      <c r="B10" s="1">
        <f t="shared" si="0"/>
        <v>4.5989061910315234</v>
      </c>
      <c r="C10" s="1">
        <v>1</v>
      </c>
    </row>
    <row r="11" spans="1:20" x14ac:dyDescent="0.25">
      <c r="A11" s="1">
        <v>8</v>
      </c>
      <c r="B11" s="1">
        <f t="shared" si="0"/>
        <v>7.9148659729870543</v>
      </c>
      <c r="C11" s="1">
        <v>1</v>
      </c>
    </row>
    <row r="12" spans="1:20" x14ac:dyDescent="0.25">
      <c r="A12" s="1">
        <v>9</v>
      </c>
      <c r="B12" s="1">
        <f t="shared" si="0"/>
        <v>3.7090663671758093</v>
      </c>
      <c r="C12" s="1">
        <v>1</v>
      </c>
      <c r="R12" s="4"/>
      <c r="S12" s="4"/>
      <c r="T12" s="4"/>
    </row>
    <row r="13" spans="1:20" x14ac:dyDescent="0.25">
      <c r="A13" s="1">
        <v>10</v>
      </c>
      <c r="B13" s="1">
        <f t="shared" si="0"/>
        <v>-5.4402111088936973</v>
      </c>
      <c r="C13" s="1">
        <v>1</v>
      </c>
      <c r="R13" s="4"/>
      <c r="S13" s="4"/>
      <c r="T13" s="4"/>
    </row>
    <row r="14" spans="1:20" x14ac:dyDescent="0.25">
      <c r="R14" s="4"/>
      <c r="S14" s="4"/>
      <c r="T14" s="4"/>
    </row>
    <row r="15" spans="1:20" x14ac:dyDescent="0.25">
      <c r="R15" s="4"/>
      <c r="S15" s="4"/>
      <c r="T15" s="4"/>
    </row>
    <row r="16" spans="1:20" x14ac:dyDescent="0.25">
      <c r="R16" s="4"/>
      <c r="S16" s="4"/>
      <c r="T16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V13" sqref="V13"/>
    </sheetView>
  </sheetViews>
  <sheetFormatPr defaultRowHeight="15" x14ac:dyDescent="0.25"/>
  <sheetData>
    <row r="1" spans="1:3" x14ac:dyDescent="0.25">
      <c r="A1" t="s">
        <v>20</v>
      </c>
    </row>
    <row r="3" spans="1:3" x14ac:dyDescent="0.25">
      <c r="A3" s="1" t="s">
        <v>1</v>
      </c>
      <c r="B3" s="1" t="s">
        <v>21</v>
      </c>
      <c r="C3" s="1" t="s">
        <v>22</v>
      </c>
    </row>
    <row r="4" spans="1:3" x14ac:dyDescent="0.25">
      <c r="A4" s="1">
        <v>-10</v>
      </c>
      <c r="B4" s="1">
        <f>8*COS(A4)</f>
        <v>-6.7125722326116195</v>
      </c>
      <c r="C4" s="1">
        <f>A4+6</f>
        <v>-4</v>
      </c>
    </row>
    <row r="5" spans="1:3" x14ac:dyDescent="0.25">
      <c r="A5" s="1">
        <v>-9</v>
      </c>
      <c r="B5" s="1">
        <f t="shared" ref="B5:B14" si="0">8*COS(A5)</f>
        <v>-7.2890420950774155</v>
      </c>
      <c r="C5" s="1">
        <f t="shared" ref="C5:C14" si="1">A5+6</f>
        <v>-3</v>
      </c>
    </row>
    <row r="6" spans="1:3" x14ac:dyDescent="0.25">
      <c r="A6" s="1">
        <v>-8</v>
      </c>
      <c r="B6" s="1">
        <f t="shared" si="0"/>
        <v>-1.1640002704689083</v>
      </c>
      <c r="C6" s="1">
        <f t="shared" si="1"/>
        <v>-2</v>
      </c>
    </row>
    <row r="7" spans="1:3" x14ac:dyDescent="0.25">
      <c r="A7" s="1">
        <v>-7</v>
      </c>
      <c r="B7" s="1">
        <f t="shared" si="0"/>
        <v>6.0312180347464368</v>
      </c>
      <c r="C7" s="1">
        <f t="shared" si="1"/>
        <v>-1</v>
      </c>
    </row>
    <row r="8" spans="1:3" x14ac:dyDescent="0.25">
      <c r="A8" s="1">
        <v>-6</v>
      </c>
      <c r="B8" s="1">
        <f t="shared" si="0"/>
        <v>7.6813622932029277</v>
      </c>
      <c r="C8" s="1">
        <f t="shared" si="1"/>
        <v>0</v>
      </c>
    </row>
    <row r="9" spans="1:3" x14ac:dyDescent="0.25">
      <c r="A9" s="1">
        <v>-5</v>
      </c>
      <c r="B9" s="1">
        <f t="shared" si="0"/>
        <v>2.26929748370581</v>
      </c>
      <c r="C9" s="1">
        <f t="shared" si="1"/>
        <v>1</v>
      </c>
    </row>
    <row r="10" spans="1:3" x14ac:dyDescent="0.25">
      <c r="A10" s="1">
        <v>-4</v>
      </c>
      <c r="B10" s="1">
        <f t="shared" si="0"/>
        <v>-5.2291489669088955</v>
      </c>
      <c r="C10" s="1">
        <f t="shared" si="1"/>
        <v>2</v>
      </c>
    </row>
    <row r="11" spans="1:3" x14ac:dyDescent="0.25">
      <c r="A11" s="1">
        <v>-3</v>
      </c>
      <c r="B11" s="1">
        <f t="shared" si="0"/>
        <v>-7.9199399728035633</v>
      </c>
      <c r="C11" s="1">
        <f t="shared" si="1"/>
        <v>3</v>
      </c>
    </row>
    <row r="12" spans="1:3" x14ac:dyDescent="0.25">
      <c r="A12" s="1">
        <v>-2</v>
      </c>
      <c r="B12" s="1">
        <f t="shared" si="0"/>
        <v>-3.3291746923771393</v>
      </c>
      <c r="C12" s="1">
        <f t="shared" si="1"/>
        <v>4</v>
      </c>
    </row>
    <row r="13" spans="1:3" x14ac:dyDescent="0.25">
      <c r="A13" s="1">
        <v>-1</v>
      </c>
      <c r="B13" s="1">
        <f t="shared" si="0"/>
        <v>4.3224184469451181</v>
      </c>
      <c r="C13" s="1">
        <f t="shared" si="1"/>
        <v>5</v>
      </c>
    </row>
    <row r="14" spans="1:3" x14ac:dyDescent="0.25">
      <c r="A14" s="1">
        <v>0</v>
      </c>
      <c r="B14" s="1">
        <f t="shared" si="0"/>
        <v>8</v>
      </c>
      <c r="C14" s="1">
        <f t="shared" si="1"/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Student02</dc:creator>
  <cp:lastModifiedBy>Student02</cp:lastModifiedBy>
  <dcterms:created xsi:type="dcterms:W3CDTF">2026-10-08T06:27:41Z</dcterms:created>
  <dcterms:modified xsi:type="dcterms:W3CDTF">2026-10-08T09:01:20Z</dcterms:modified>
</cp:coreProperties>
</file>